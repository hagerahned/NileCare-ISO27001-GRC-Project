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Gap Assessment" sheetId="2" state="visible" r:id="rId4"/>
    <sheet name="Summary" sheetId="3" state="visible" r:id="rId5"/>
  </sheets>
  <definedNames>
    <definedName function="false" hidden="true" localSheetId="1" name="_xlnm._FilterDatabase" vbProcedure="false">'Gap Assessment'!$A$1:$J$94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<sst xmlns="http://schemas.openxmlformats.org/spreadsheetml/2006/main" count="819" uniqueCount="439">
  <si>
    <t xml:space="preserve">NileCare – ISO/IEC 27001:2022 Annex A Gap Assessment</t>
  </si>
  <si>
    <t xml:space="preserve">Scope</t>
  </si>
  <si>
    <t xml:space="preserve">All 93 Annex A controls (2022 edition), assessed against the fictional company NileCare (private clinics, Cairo, ~120 staff).</t>
  </si>
  <si>
    <t xml:space="preserve">Scoring</t>
  </si>
  <si>
    <t xml:space="preserve">Implemented = 1, Partially implemented = 0.5, Not implemented = 0. Not applicable controls are excluded from the percentage.</t>
  </si>
  <si>
    <t xml:space="preserve">Compliance %</t>
  </si>
  <si>
    <t xml:space="preserve">Sum of scores divided by number of applicable controls. A simple maturity indicator, not a certification result.</t>
  </si>
  <si>
    <t xml:space="preserve">Link to risks</t>
  </si>
  <si>
    <t xml:space="preserve">The 'Related Risks' column points to Risk IDs in the NileCare Risk Register workbook.</t>
  </si>
  <si>
    <t xml:space="preserve">Legend</t>
  </si>
  <si>
    <t xml:space="preserve">Blue text = input (edit these). Black text = formulas.</t>
  </si>
  <si>
    <t xml:space="preserve">Assumptions</t>
  </si>
  <si>
    <t xml:space="preserve">All findings are invented for practice. Statuses were set to be consistent with the risk register (e.g. no MFA, untested backups, no SIEM). Controls 8.4 and 8.25 are not applicable because NileCare has no in-house development; the booking portal is built by an external agency.</t>
  </si>
  <si>
    <t xml:space="preserve">Control ID</t>
  </si>
  <si>
    <t xml:space="preserve">Control</t>
  </si>
  <si>
    <t xml:space="preserve">Theme</t>
  </si>
  <si>
    <t xml:space="preserve">Status</t>
  </si>
  <si>
    <t xml:space="preserve">Score (auto)</t>
  </si>
  <si>
    <t xml:space="preserve">Current State</t>
  </si>
  <si>
    <t xml:space="preserve">Gap / Recommended Action</t>
  </si>
  <si>
    <t xml:space="preserve">Priority</t>
  </si>
  <si>
    <t xml:space="preserve">Owner</t>
  </si>
  <si>
    <t xml:space="preserve">Related Risks</t>
  </si>
  <si>
    <t xml:space="preserve">5.1</t>
  </si>
  <si>
    <t xml:space="preserve">Policies for information security</t>
  </si>
  <si>
    <t xml:space="preserve">Organizational</t>
  </si>
  <si>
    <t xml:space="preserve">Partially implemented</t>
  </si>
  <si>
    <t xml:space="preserve">Short IT usage policy exists; no approved ISMS policy set</t>
  </si>
  <si>
    <t xml:space="preserve">Approve top-level information security policy and topic-specific policies; review yearly</t>
  </si>
  <si>
    <t xml:space="preserve">High</t>
  </si>
  <si>
    <t xml:space="preserve">IT Manager</t>
  </si>
  <si>
    <t xml:space="preserve">5.2</t>
  </si>
  <si>
    <t xml:space="preserve">Information security roles and responsibilities</t>
  </si>
  <si>
    <t xml:space="preserve">Not implemented</t>
  </si>
  <si>
    <t xml:space="preserve">Security duties not formally assigned</t>
  </si>
  <si>
    <t xml:space="preserve">Define ISMS roles and owners in a RACI matrix</t>
  </si>
  <si>
    <t xml:space="preserve">5.3</t>
  </si>
  <si>
    <t xml:space="preserve">Segregation of duties</t>
  </si>
  <si>
    <t xml:space="preserve">Finance approvals are segregated; IT admins can request and approve access</t>
  </si>
  <si>
    <t xml:space="preserve">Separate access request and approval</t>
  </si>
  <si>
    <t xml:space="preserve">Medium</t>
  </si>
  <si>
    <t xml:space="preserve">5.4</t>
  </si>
  <si>
    <t xml:space="preserve">Management responsibilities</t>
  </si>
  <si>
    <t xml:space="preserve">Management supports IT but no security objectives set</t>
  </si>
  <si>
    <t xml:space="preserve">Set security objectives; hold quarterly management review</t>
  </si>
  <si>
    <t xml:space="preserve">5.5</t>
  </si>
  <si>
    <t xml:space="preserve">Contact with authorities</t>
  </si>
  <si>
    <t xml:space="preserve">No contact list for authorities</t>
  </si>
  <si>
    <t xml:space="preserve">Keep contacts for EG-CERT, data protection authority and cyber police</t>
  </si>
  <si>
    <t xml:space="preserve">Low</t>
  </si>
  <si>
    <t xml:space="preserve">5.6</t>
  </si>
  <si>
    <t xml:space="preserve">Contact with special interest groups</t>
  </si>
  <si>
    <t xml:space="preserve">No participation in security communities</t>
  </si>
  <si>
    <t xml:space="preserve">Join EG-CERT bulletins and healthcare security groups</t>
  </si>
  <si>
    <t xml:space="preserve">5.7</t>
  </si>
  <si>
    <t xml:space="preserve">Threat intelligence</t>
  </si>
  <si>
    <t xml:space="preserve">No threat intelligence used</t>
  </si>
  <si>
    <t xml:space="preserve">Subscribe to EG-CERT and vendor advisories; review monthly</t>
  </si>
  <si>
    <t xml:space="preserve">5.8</t>
  </si>
  <si>
    <t xml:space="preserve">Information security in project management</t>
  </si>
  <si>
    <t xml:space="preserve">Security not part of IT project steps</t>
  </si>
  <si>
    <t xml:space="preserve">Add a security checklist to every IT project</t>
  </si>
  <si>
    <t xml:space="preserve">5.9</t>
  </si>
  <si>
    <t xml:space="preserve">Inventory of information and other associated assets</t>
  </si>
  <si>
    <t xml:space="preserve">Asset inventory created in this project; no maintenance process yet</t>
  </si>
  <si>
    <t xml:space="preserve">Assign owners and review the inventory twice a year</t>
  </si>
  <si>
    <t xml:space="preserve">5.10</t>
  </si>
  <si>
    <t xml:space="preserve">Acceptable use of information and other associated assets</t>
  </si>
  <si>
    <t xml:space="preserve">Acceptable use text in handbook; not signed by staff</t>
  </si>
  <si>
    <t xml:space="preserve">Sign acceptable use policy at onboarding</t>
  </si>
  <si>
    <t xml:space="preserve">HR Manager</t>
  </si>
  <si>
    <t xml:space="preserve">5.11</t>
  </si>
  <si>
    <t xml:space="preserve">Return of assets</t>
  </si>
  <si>
    <t xml:space="preserve">Laptops collected on exit; tokens and accounts not always</t>
  </si>
  <si>
    <t xml:space="preserve">Add return of assets to offboarding checklist</t>
  </si>
  <si>
    <t xml:space="preserve">5.12</t>
  </si>
  <si>
    <t xml:space="preserve">Classification of information</t>
  </si>
  <si>
    <t xml:space="preserve">No classification scheme</t>
  </si>
  <si>
    <t xml:space="preserve">Adopt 4 levels: Public, Internal, Confidential, Patient-Restricted</t>
  </si>
  <si>
    <t xml:space="preserve">Head of Medical Operations</t>
  </si>
  <si>
    <t xml:space="preserve">R-12</t>
  </si>
  <si>
    <t xml:space="preserve">5.13</t>
  </si>
  <si>
    <t xml:space="preserve">Labelling of information</t>
  </si>
  <si>
    <t xml:space="preserve">No labelling of documents or reports</t>
  </si>
  <si>
    <t xml:space="preserve">Label documents by classification after 5.12 is approved</t>
  </si>
  <si>
    <t xml:space="preserve">5.14</t>
  </si>
  <si>
    <t xml:space="preserve">Information transfer</t>
  </si>
  <si>
    <t xml:space="preserve">Patient reports sometimes sent by email; no secure transfer rules</t>
  </si>
  <si>
    <t xml:space="preserve">Define secure transfer channels and encrypted email for patient data</t>
  </si>
  <si>
    <t xml:space="preserve">5.15</t>
  </si>
  <si>
    <t xml:space="preserve">Access control</t>
  </si>
  <si>
    <t xml:space="preserve">AD groups exist; no approved access control policy</t>
  </si>
  <si>
    <t xml:space="preserve">Approve access control policy (see Access_Control_Policy.md)</t>
  </si>
  <si>
    <t xml:space="preserve">R-02</t>
  </si>
  <si>
    <t xml:space="preserve">5.16</t>
  </si>
  <si>
    <t xml:space="preserve">Identity management</t>
  </si>
  <si>
    <t xml:space="preserve">Unique IDs for staff; shared accounts at some reception desks</t>
  </si>
  <si>
    <t xml:space="preserve">Remove shared accounts; link IDs to HR records</t>
  </si>
  <si>
    <t xml:space="preserve">5.17</t>
  </si>
  <si>
    <t xml:space="preserve">Authentication information</t>
  </si>
  <si>
    <t xml:space="preserve">Password policy exists; MFA not enforced</t>
  </si>
  <si>
    <t xml:space="preserve">Enforce MFA and password manager guidance</t>
  </si>
  <si>
    <t xml:space="preserve">5.18</t>
  </si>
  <si>
    <t xml:space="preserve">Access rights</t>
  </si>
  <si>
    <t xml:space="preserve">No periodic access review; leavers sometimes delayed</t>
  </si>
  <si>
    <t xml:space="preserve">Quarterly access reviews; same-day removal for leavers</t>
  </si>
  <si>
    <t xml:space="preserve">5.19</t>
  </si>
  <si>
    <t xml:space="preserve">Information security in supplier relationships</t>
  </si>
  <si>
    <t xml:space="preserve">No supplier security requirements or register</t>
  </si>
  <si>
    <t xml:space="preserve">Create supplier register with risk tier and requirements</t>
  </si>
  <si>
    <t xml:space="preserve">Procurement Manager</t>
  </si>
  <si>
    <t xml:space="preserve">R-06</t>
  </si>
  <si>
    <t xml:space="preserve">5.20</t>
  </si>
  <si>
    <t xml:space="preserve">Addressing information security within supplier agreements</t>
  </si>
  <si>
    <t xml:space="preserve">EMR vendor contract covers uptime only</t>
  </si>
  <si>
    <t xml:space="preserve">Add security and breach-notification clauses to vendor contracts</t>
  </si>
  <si>
    <t xml:space="preserve">5.21</t>
  </si>
  <si>
    <t xml:space="preserve">Managing information security in the ICT supply chain</t>
  </si>
  <si>
    <t xml:space="preserve">Hardware and software suppliers not assessed</t>
  </si>
  <si>
    <t xml:space="preserve">Include supply chain requirements in procurement</t>
  </si>
  <si>
    <t xml:space="preserve">5.22</t>
  </si>
  <si>
    <t xml:space="preserve">Monitoring, review and change management of supplier services</t>
  </si>
  <si>
    <t xml:space="preserve">No supplier reviews</t>
  </si>
  <si>
    <t xml:space="preserve">Annual supplier security review for critical vendors</t>
  </si>
  <si>
    <t xml:space="preserve">5.23</t>
  </si>
  <si>
    <t xml:space="preserve">Information security for use of cloud services</t>
  </si>
  <si>
    <t xml:space="preserve">EMR and email are cloud-based; no cloud policy or exit plan</t>
  </si>
  <si>
    <t xml:space="preserve">Cloud usage policy with shared responsibility and exit plan</t>
  </si>
  <si>
    <t xml:space="preserve">5.24</t>
  </si>
  <si>
    <t xml:space="preserve">Information security incident management planning and preparation</t>
  </si>
  <si>
    <t xml:space="preserve">No incident response plan</t>
  </si>
  <si>
    <t xml:space="preserve">Approve incident response policy and playbooks (see Incident_Response_Policy.md)</t>
  </si>
  <si>
    <t xml:space="preserve">5.25</t>
  </si>
  <si>
    <t xml:space="preserve">Assessment and decision on information security events</t>
  </si>
  <si>
    <t xml:space="preserve">No triage criteria</t>
  </si>
  <si>
    <t xml:space="preserve">Define severity levels and escalation path</t>
  </si>
  <si>
    <t xml:space="preserve">5.26</t>
  </si>
  <si>
    <t xml:space="preserve">Response to information security incidents</t>
  </si>
  <si>
    <t xml:space="preserve">IT fixes issues ad hoc; no defined response steps</t>
  </si>
  <si>
    <t xml:space="preserve">Use documented response phases and roles</t>
  </si>
  <si>
    <t xml:space="preserve">5.27</t>
  </si>
  <si>
    <t xml:space="preserve">Learning from information security incidents</t>
  </si>
  <si>
    <t xml:space="preserve">No post-incident reviews</t>
  </si>
  <si>
    <t xml:space="preserve">Hold a review after each major incident and track actions</t>
  </si>
  <si>
    <t xml:space="preserve">5.28</t>
  </si>
  <si>
    <t xml:space="preserve">Collection of evidence</t>
  </si>
  <si>
    <t xml:space="preserve">No evidence handling procedure</t>
  </si>
  <si>
    <t xml:space="preserve">Define log and disk evidence preservation steps</t>
  </si>
  <si>
    <t xml:space="preserve">5.29</t>
  </si>
  <si>
    <t xml:space="preserve">Information security during disruption</t>
  </si>
  <si>
    <t xml:space="preserve">Security controls not planned for outages</t>
  </si>
  <si>
    <t xml:space="preserve">Define minimum security controls during disruption</t>
  </si>
  <si>
    <t xml:space="preserve">5.30</t>
  </si>
  <si>
    <t xml:space="preserve">ICT readiness for business continuity</t>
  </si>
  <si>
    <t xml:space="preserve">Backups exist; no tested DR or continuity plan</t>
  </si>
  <si>
    <t xml:space="preserve">Create DR plan with recovery targets; test yearly</t>
  </si>
  <si>
    <t xml:space="preserve">R-04, R-08</t>
  </si>
  <si>
    <t xml:space="preserve">5.31</t>
  </si>
  <si>
    <t xml:space="preserve">Legal, statutory, regulatory and contractual requirements</t>
  </si>
  <si>
    <t xml:space="preserve">Aware of Egypt PDPL (Law 151 of 2020); no requirements register</t>
  </si>
  <si>
    <t xml:space="preserve">Maintain legal requirements register; appoint DPO</t>
  </si>
  <si>
    <t xml:space="preserve">Legal and Compliance</t>
  </si>
  <si>
    <t xml:space="preserve">R-14</t>
  </si>
  <si>
    <t xml:space="preserve">5.32</t>
  </si>
  <si>
    <t xml:space="preserve">Intellectual property rights</t>
  </si>
  <si>
    <t xml:space="preserve">Clinical systems licensed; workstation software not fully tracked</t>
  </si>
  <si>
    <t xml:space="preserve">Software license inventory and audit</t>
  </si>
  <si>
    <t xml:space="preserve">5.33</t>
  </si>
  <si>
    <t xml:space="preserve">Protection of records</t>
  </si>
  <si>
    <t xml:space="preserve">Medical records follow clinical retention rules; other records have none</t>
  </si>
  <si>
    <t xml:space="preserve">Retention schedule for all record types</t>
  </si>
  <si>
    <t xml:space="preserve">5.34</t>
  </si>
  <si>
    <t xml:space="preserve">Privacy and protection of PII</t>
  </si>
  <si>
    <t xml:space="preserve">No privacy notice, consent process or breach procedure</t>
  </si>
  <si>
    <t xml:space="preserve">Privacy notice, consent forms, data subject request and breach process</t>
  </si>
  <si>
    <t xml:space="preserve">5.35</t>
  </si>
  <si>
    <t xml:space="preserve">Independent review of information security</t>
  </si>
  <si>
    <t xml:space="preserve">No internal or external audit</t>
  </si>
  <si>
    <t xml:space="preserve">Annual internal audit against ISO 27001</t>
  </si>
  <si>
    <t xml:space="preserve">5.36</t>
  </si>
  <si>
    <t xml:space="preserve">Compliance with policies, rules and standards for information security</t>
  </si>
  <si>
    <t xml:space="preserve">No compliance checks</t>
  </si>
  <si>
    <t xml:space="preserve">Quarterly compliance spot-checks</t>
  </si>
  <si>
    <t xml:space="preserve">5.37</t>
  </si>
  <si>
    <t xml:space="preserve">Documented operating procedures</t>
  </si>
  <si>
    <t xml:space="preserve">Some runbooks held by individuals</t>
  </si>
  <si>
    <t xml:space="preserve">Centralize and version operating procedures</t>
  </si>
  <si>
    <t xml:space="preserve">R-16</t>
  </si>
  <si>
    <t xml:space="preserve">6.1</t>
  </si>
  <si>
    <t xml:space="preserve">Screening</t>
  </si>
  <si>
    <t xml:space="preserve">People</t>
  </si>
  <si>
    <t xml:space="preserve">Implemented</t>
  </si>
  <si>
    <t xml:space="preserve">Background and license checks for doctors and nurses; HR checks for all hires</t>
  </si>
  <si>
    <t xml:space="preserve">-</t>
  </si>
  <si>
    <t xml:space="preserve">6.2</t>
  </si>
  <si>
    <t xml:space="preserve">Terms and conditions of employment</t>
  </si>
  <si>
    <t xml:space="preserve">Contracts include confidentiality; no security responsibilities clause</t>
  </si>
  <si>
    <t xml:space="preserve">Add information security responsibilities to contracts</t>
  </si>
  <si>
    <t xml:space="preserve">6.3</t>
  </si>
  <si>
    <t xml:space="preserve">Information security awareness, education and training</t>
  </si>
  <si>
    <t xml:space="preserve">No security awareness program</t>
  </si>
  <si>
    <t xml:space="preserve">Annual training plus quarterly phishing simulations</t>
  </si>
  <si>
    <t xml:space="preserve">R-03</t>
  </si>
  <si>
    <t xml:space="preserve">6.4</t>
  </si>
  <si>
    <t xml:space="preserve">Disciplinary process</t>
  </si>
  <si>
    <t xml:space="preserve">General disciplinary process; not linked to security breaches</t>
  </si>
  <si>
    <t xml:space="preserve">Link policy violations to disciplinary process</t>
  </si>
  <si>
    <t xml:space="preserve">6.5</t>
  </si>
  <si>
    <t xml:space="preserve">Responsibilities after termination or change of employment</t>
  </si>
  <si>
    <t xml:space="preserve">No checklist; access revocation varies</t>
  </si>
  <si>
    <t xml:space="preserve">Offboarding checklist with access revocation SLA</t>
  </si>
  <si>
    <t xml:space="preserve">6.6</t>
  </si>
  <si>
    <t xml:space="preserve">Confidentiality or non-disclosure agreements</t>
  </si>
  <si>
    <t xml:space="preserve">NDAs signed by all employees</t>
  </si>
  <si>
    <t xml:space="preserve">6.7</t>
  </si>
  <si>
    <t xml:space="preserve">Remote working</t>
  </si>
  <si>
    <t xml:space="preserve">Doctors access EMR remotely; no remote work rules</t>
  </si>
  <si>
    <t xml:space="preserve">Remote work policy with VPN and MFA requirement</t>
  </si>
  <si>
    <t xml:space="preserve">6.8</t>
  </si>
  <si>
    <t xml:space="preserve">Information security event reporting</t>
  </si>
  <si>
    <t xml:space="preserve">Staff tell IT informally</t>
  </si>
  <si>
    <t xml:space="preserve">Single reporting channel (email and phone) with awareness</t>
  </si>
  <si>
    <t xml:space="preserve">7.1</t>
  </si>
  <si>
    <t xml:space="preserve">Physical security perimeters</t>
  </si>
  <si>
    <t xml:space="preserve">Physical</t>
  </si>
  <si>
    <t xml:space="preserve">Reception desks and locked doors at all branches</t>
  </si>
  <si>
    <t xml:space="preserve">Facilities Manager</t>
  </si>
  <si>
    <t xml:space="preserve">7.2</t>
  </si>
  <si>
    <t xml:space="preserve">Physical entry</t>
  </si>
  <si>
    <t xml:space="preserve">Badge readers at HQ only; branch visitors logged on paper</t>
  </si>
  <si>
    <t xml:space="preserve">Extend badge or visitor log to all branches</t>
  </si>
  <si>
    <t xml:space="preserve">7.3</t>
  </si>
  <si>
    <t xml:space="preserve">Securing offices, rooms and facilities</t>
  </si>
  <si>
    <t xml:space="preserve">Server room locked; keys held by several people</t>
  </si>
  <si>
    <t xml:space="preserve">Restrict and log server room access</t>
  </si>
  <si>
    <t xml:space="preserve">7.4</t>
  </si>
  <si>
    <t xml:space="preserve">Physical security monitoring</t>
  </si>
  <si>
    <t xml:space="preserve">CCTV covers entrances and server room at all branches</t>
  </si>
  <si>
    <t xml:space="preserve">7.5</t>
  </si>
  <si>
    <t xml:space="preserve">Protecting against physical and environmental threats</t>
  </si>
  <si>
    <t xml:space="preserve">Fire extinguisher only; no environmental monitoring</t>
  </si>
  <si>
    <t xml:space="preserve">Temperature and water sensors; fire suppression review</t>
  </si>
  <si>
    <t xml:space="preserve">R-08</t>
  </si>
  <si>
    <t xml:space="preserve">7.6</t>
  </si>
  <si>
    <t xml:space="preserve">Working in secure areas</t>
  </si>
  <si>
    <t xml:space="preserve">Medical areas controlled; rules not documented</t>
  </si>
  <si>
    <t xml:space="preserve">Document rules for secure areas</t>
  </si>
  <si>
    <t xml:space="preserve">7.7</t>
  </si>
  <si>
    <t xml:space="preserve">Clear desk and clear screen</t>
  </si>
  <si>
    <t xml:space="preserve">No clear desk or auto-lock rule</t>
  </si>
  <si>
    <t xml:space="preserve">Auto-lock screens at 5 minutes; clear desk rule</t>
  </si>
  <si>
    <t xml:space="preserve">7.8</t>
  </si>
  <si>
    <t xml:space="preserve">Equipment siting and protection</t>
  </si>
  <si>
    <t xml:space="preserve">Server rack protected; branch network cabinets unlocked</t>
  </si>
  <si>
    <t xml:space="preserve">Lock branch network cabinets</t>
  </si>
  <si>
    <t xml:space="preserve">7.9</t>
  </si>
  <si>
    <t xml:space="preserve">Security of assets off-premises</t>
  </si>
  <si>
    <t xml:space="preserve">Laptops used outside clinics without rules</t>
  </si>
  <si>
    <t xml:space="preserve">Rules for off-site equipment; encryption</t>
  </si>
  <si>
    <t xml:space="preserve">IT Support Lead</t>
  </si>
  <si>
    <t xml:space="preserve">7.10</t>
  </si>
  <si>
    <t xml:space="preserve">Storage media</t>
  </si>
  <si>
    <t xml:space="preserve">No removable media rules</t>
  </si>
  <si>
    <t xml:space="preserve">Block USB storage by default; approved media only</t>
  </si>
  <si>
    <t xml:space="preserve">7.11</t>
  </si>
  <si>
    <t xml:space="preserve">Supporting utilities</t>
  </si>
  <si>
    <t xml:space="preserve">UPS covers servers; no generator</t>
  </si>
  <si>
    <t xml:space="preserve">Add second UPS; assess generator for HQ</t>
  </si>
  <si>
    <t xml:space="preserve">7.12</t>
  </si>
  <si>
    <t xml:space="preserve">Cabling security</t>
  </si>
  <si>
    <t xml:space="preserve">Structured cabling at HQ; branches unlabelled</t>
  </si>
  <si>
    <t xml:space="preserve">Label and protect cabling at branches</t>
  </si>
  <si>
    <t xml:space="preserve">7.13</t>
  </si>
  <si>
    <t xml:space="preserve">Equipment maintenance</t>
  </si>
  <si>
    <t xml:space="preserve">Vendor maintenance contracts for servers and medical devices</t>
  </si>
  <si>
    <t xml:space="preserve">7.14</t>
  </si>
  <si>
    <t xml:space="preserve">Secure disposal or re-use of equipment</t>
  </si>
  <si>
    <t xml:space="preserve">Old PCs reused without verified wiping</t>
  </si>
  <si>
    <t xml:space="preserve">Certified wipe and disposal log</t>
  </si>
  <si>
    <t xml:space="preserve">8.1</t>
  </si>
  <si>
    <t xml:space="preserve">User endpoint devices</t>
  </si>
  <si>
    <t xml:space="preserve">Technological</t>
  </si>
  <si>
    <t xml:space="preserve">Laptops not encrypted; no device management</t>
  </si>
  <si>
    <t xml:space="preserve">Full-disk encryption and device management with remote wipe</t>
  </si>
  <si>
    <t xml:space="preserve">R-07</t>
  </si>
  <si>
    <t xml:space="preserve">8.2</t>
  </si>
  <si>
    <t xml:space="preserve">Privileged access rights</t>
  </si>
  <si>
    <t xml:space="preserve">Admin accounts used for daily work</t>
  </si>
  <si>
    <t xml:space="preserve">Separate admin accounts; privileged access management</t>
  </si>
  <si>
    <t xml:space="preserve">R-09</t>
  </si>
  <si>
    <t xml:space="preserve">8.3</t>
  </si>
  <si>
    <t xml:space="preserve">Information access restriction</t>
  </si>
  <si>
    <t xml:space="preserve">EMR roles exist; file server shares are broad</t>
  </si>
  <si>
    <t xml:space="preserve">Review shares; least-privilege groups</t>
  </si>
  <si>
    <t xml:space="preserve">8.4</t>
  </si>
  <si>
    <t xml:space="preserve">Access to source code</t>
  </si>
  <si>
    <t xml:space="preserve">Not applicable</t>
  </si>
  <si>
    <t xml:space="preserve">No in-house source code; portal built by external agency (see 8.30)</t>
  </si>
  <si>
    <t xml:space="preserve">8.5</t>
  </si>
  <si>
    <t xml:space="preserve">Secure authentication</t>
  </si>
  <si>
    <t xml:space="preserve">Password policy only; no MFA on email, VPN or admin accounts</t>
  </si>
  <si>
    <t xml:space="preserve">Enforce MFA on email, VPN and admin accounts</t>
  </si>
  <si>
    <t xml:space="preserve">R-03, R-09</t>
  </si>
  <si>
    <t xml:space="preserve">8.6</t>
  </si>
  <si>
    <t xml:space="preserve">Capacity management</t>
  </si>
  <si>
    <t xml:space="preserve">No capacity monitoring on servers</t>
  </si>
  <si>
    <t xml:space="preserve">Basic disk and CPU monitoring with thresholds</t>
  </si>
  <si>
    <t xml:space="preserve">8.7</t>
  </si>
  <si>
    <t xml:space="preserve">Protection against malware</t>
  </si>
  <si>
    <t xml:space="preserve">Antivirus on workstations; no EDR on servers</t>
  </si>
  <si>
    <t xml:space="preserve">Deploy EDR on servers and laptops</t>
  </si>
  <si>
    <t xml:space="preserve">R-01</t>
  </si>
  <si>
    <t xml:space="preserve">8.8</t>
  </si>
  <si>
    <t xml:space="preserve">Management of technical vulnerabilities</t>
  </si>
  <si>
    <t xml:space="preserve">No regular scans; patching is manual and delayed</t>
  </si>
  <si>
    <t xml:space="preserve">Monthly patch cycle; quarterly vulnerability scans</t>
  </si>
  <si>
    <t xml:space="preserve">R-01, R-05, R-15</t>
  </si>
  <si>
    <t xml:space="preserve">8.9</t>
  </si>
  <si>
    <t xml:space="preserve">Configuration management</t>
  </si>
  <si>
    <t xml:space="preserve">No baseline configurations</t>
  </si>
  <si>
    <t xml:space="preserve">Baselines for servers, firewalls and switches</t>
  </si>
  <si>
    <t xml:space="preserve">8.10</t>
  </si>
  <si>
    <t xml:space="preserve">Information deletion</t>
  </si>
  <si>
    <t xml:space="preserve">No deletion rules</t>
  </si>
  <si>
    <t xml:space="preserve">Deletion procedure following retention schedule</t>
  </si>
  <si>
    <t xml:space="preserve">8.11</t>
  </si>
  <si>
    <t xml:space="preserve">Data masking</t>
  </si>
  <si>
    <t xml:space="preserve">Patient identifiers shown in full in reports</t>
  </si>
  <si>
    <t xml:space="preserve">Mask identifiers in reports and test data</t>
  </si>
  <si>
    <t xml:space="preserve">8.12</t>
  </si>
  <si>
    <t xml:space="preserve">Data leakage prevention</t>
  </si>
  <si>
    <t xml:space="preserve">No DLP; data can leave via email and personal cloud</t>
  </si>
  <si>
    <t xml:space="preserve">DLP rules for patient identifiers on email</t>
  </si>
  <si>
    <t xml:space="preserve">8.13</t>
  </si>
  <si>
    <t xml:space="preserve">Information backup</t>
  </si>
  <si>
    <t xml:space="preserve">Nightly backups; restore never tested; NAS on production network</t>
  </si>
  <si>
    <t xml:space="preserve">Offline or immutable copy; quarterly restore tests</t>
  </si>
  <si>
    <t xml:space="preserve">R-04</t>
  </si>
  <si>
    <t xml:space="preserve">8.14</t>
  </si>
  <si>
    <t xml:space="preserve">Redundancy of information processing facilities</t>
  </si>
  <si>
    <t xml:space="preserve">Single PACS storage node; no failover</t>
  </si>
  <si>
    <t xml:space="preserve">Failover for critical systems based on recovery targets</t>
  </si>
  <si>
    <t xml:space="preserve">R-08, R-13</t>
  </si>
  <si>
    <t xml:space="preserve">8.15</t>
  </si>
  <si>
    <t xml:space="preserve">Logging</t>
  </si>
  <si>
    <t xml:space="preserve">Logs kept on devices; not centralized or protected</t>
  </si>
  <si>
    <t xml:space="preserve">Centralize logs for servers, AD, firewalls and EMR access</t>
  </si>
  <si>
    <t xml:space="preserve">8.16</t>
  </si>
  <si>
    <t xml:space="preserve">Monitoring activities</t>
  </si>
  <si>
    <t xml:space="preserve">No monitoring or alerting</t>
  </si>
  <si>
    <t xml:space="preserve">Deploy SIEM and define priority alerts (failed logins, admin changes, EMR bulk access)</t>
  </si>
  <si>
    <t xml:space="preserve">8.17</t>
  </si>
  <si>
    <t xml:space="preserve">Clock synchronization</t>
  </si>
  <si>
    <t xml:space="preserve">All servers and devices sync to AD time service</t>
  </si>
  <si>
    <t xml:space="preserve">8.18</t>
  </si>
  <si>
    <t xml:space="preserve">Use of privileged utility programs</t>
  </si>
  <si>
    <t xml:space="preserve">No restriction on admin tools</t>
  </si>
  <si>
    <t xml:space="preserve">Restrict admin tools to admin accounts and log use</t>
  </si>
  <si>
    <t xml:space="preserve">8.19</t>
  </si>
  <si>
    <t xml:space="preserve">Installation of software on operational systems</t>
  </si>
  <si>
    <t xml:space="preserve">Users can install software on workstations</t>
  </si>
  <si>
    <t xml:space="preserve">Remove local admin rights; approved software list</t>
  </si>
  <si>
    <t xml:space="preserve">R-15</t>
  </si>
  <si>
    <t xml:space="preserve">8.20</t>
  </si>
  <si>
    <t xml:space="preserve">Networks security</t>
  </si>
  <si>
    <t xml:space="preserve">Firewalls at each site; flat internal network</t>
  </si>
  <si>
    <t xml:space="preserve">Segment network; review firewall rules</t>
  </si>
  <si>
    <t xml:space="preserve">Network Administrator</t>
  </si>
  <si>
    <t xml:space="preserve">R-10</t>
  </si>
  <si>
    <t xml:space="preserve">8.21</t>
  </si>
  <si>
    <t xml:space="preserve">Security of network services</t>
  </si>
  <si>
    <t xml:space="preserve">ISP and VPN SLAs cover uptime only</t>
  </si>
  <si>
    <t xml:space="preserve">Add security requirements to network service contracts</t>
  </si>
  <si>
    <t xml:space="preserve">8.22</t>
  </si>
  <si>
    <t xml:space="preserve">Segregation of networks</t>
  </si>
  <si>
    <t xml:space="preserve">No VLANs for clinical, admin, POS or guest</t>
  </si>
  <si>
    <t xml:space="preserve">Create VLANs and inter-VLAN firewall rules</t>
  </si>
  <si>
    <t xml:space="preserve">R-01, R-11</t>
  </si>
  <si>
    <t xml:space="preserve">8.23</t>
  </si>
  <si>
    <t xml:space="preserve">Web filtering</t>
  </si>
  <si>
    <t xml:space="preserve">No web filtering</t>
  </si>
  <si>
    <t xml:space="preserve">Category-based web filtering on firewall or proxy</t>
  </si>
  <si>
    <t xml:space="preserve">8.24</t>
  </si>
  <si>
    <t xml:space="preserve">Use of cryptography</t>
  </si>
  <si>
    <t xml:space="preserve">HTTPS on portal; laptops unencrypted; old VPN keys</t>
  </si>
  <si>
    <t xml:space="preserve">Cryptography policy; encrypt laptops; rotate VPN keys</t>
  </si>
  <si>
    <t xml:space="preserve">R-07, R-10</t>
  </si>
  <si>
    <t xml:space="preserve">8.25</t>
  </si>
  <si>
    <t xml:space="preserve">Secure development life cycle</t>
  </si>
  <si>
    <t xml:space="preserve">No in-house development (external agency builds the portal)</t>
  </si>
  <si>
    <t xml:space="preserve">8.26</t>
  </si>
  <si>
    <t xml:space="preserve">Application security requirements</t>
  </si>
  <si>
    <t xml:space="preserve">No security requirements for portal</t>
  </si>
  <si>
    <t xml:space="preserve">Define portal security requirements in agency contract</t>
  </si>
  <si>
    <t xml:space="preserve">Digital Services Lead</t>
  </si>
  <si>
    <t xml:space="preserve">8.27</t>
  </si>
  <si>
    <t xml:space="preserve">Secure system architecture and engineering principles</t>
  </si>
  <si>
    <t xml:space="preserve">No architecture principles</t>
  </si>
  <si>
    <t xml:space="preserve">Document basic architecture principles</t>
  </si>
  <si>
    <t xml:space="preserve">8.28</t>
  </si>
  <si>
    <t xml:space="preserve">Secure coding</t>
  </si>
  <si>
    <t xml:space="preserve">No secure coding requirement for agency</t>
  </si>
  <si>
    <t xml:space="preserve">Require OWASP-based secure coding from agency</t>
  </si>
  <si>
    <t xml:space="preserve">R-05</t>
  </si>
  <si>
    <t xml:space="preserve">8.29</t>
  </si>
  <si>
    <t xml:space="preserve">Security testing in development and acceptance</t>
  </si>
  <si>
    <t xml:space="preserve">No security test before release</t>
  </si>
  <si>
    <t xml:space="preserve">Security test before each portal release</t>
  </si>
  <si>
    <t xml:space="preserve">8.30</t>
  </si>
  <si>
    <t xml:space="preserve">Outsourced development</t>
  </si>
  <si>
    <t xml:space="preserve">Agency contract exists; no security clauses</t>
  </si>
  <si>
    <t xml:space="preserve">Add security clauses and code review rights</t>
  </si>
  <si>
    <t xml:space="preserve">8.31</t>
  </si>
  <si>
    <t xml:space="preserve">Separation of development, test and production environments</t>
  </si>
  <si>
    <t xml:space="preserve">Agency uses separate staging; not verified</t>
  </si>
  <si>
    <t xml:space="preserve">Verify separation during supplier review</t>
  </si>
  <si>
    <t xml:space="preserve">8.32</t>
  </si>
  <si>
    <t xml:space="preserve">Change management</t>
  </si>
  <si>
    <t xml:space="preserve">Changes approved verbally; no change log</t>
  </si>
  <si>
    <t xml:space="preserve">Change log with approval and rollback plan</t>
  </si>
  <si>
    <t xml:space="preserve">8.33</t>
  </si>
  <si>
    <t xml:space="preserve">Test information</t>
  </si>
  <si>
    <t xml:space="preserve">Real patient data may be used for testing</t>
  </si>
  <si>
    <t xml:space="preserve">Use masked data for tests</t>
  </si>
  <si>
    <t xml:space="preserve">8.34</t>
  </si>
  <si>
    <t xml:space="preserve">Protection of information systems during audit testing</t>
  </si>
  <si>
    <t xml:space="preserve">No rules for audit or pentest access</t>
  </si>
  <si>
    <t xml:space="preserve">Define scope, timing and approval for testing</t>
  </si>
  <si>
    <t xml:space="preserve">Total Controls</t>
  </si>
  <si>
    <t xml:space="preserve">Applicable</t>
  </si>
  <si>
    <t xml:space="preserve">Partially Implemented</t>
  </si>
  <si>
    <t xml:space="preserve">Not Implemented</t>
  </si>
  <si>
    <t xml:space="preserve">Not Applicable</t>
  </si>
  <si>
    <t xml:space="preserve">Total</t>
  </si>
  <si>
    <t xml:space="preserve">Open gaps by priority</t>
  </si>
  <si>
    <t xml:space="preserve">Count</t>
  </si>
  <si>
    <t xml:space="preserve">Total open gaps</t>
  </si>
  <si>
    <t xml:space="preserve">Note</t>
  </si>
  <si>
    <t xml:space="preserve">Compliance % = (Implemented x 1 + Partially x 0.5) / Applicable controls. Priority applies to open gaps only.</t>
  </si>
</sst>
</file>

<file path=xl/styles.xml><?xml version="1.0" encoding="utf-8"?>
<styleSheet xmlns="http://schemas.openxmlformats.org/spreadsheetml/2006/main">
  <numFmts count="5">
    <numFmt numFmtId="164" formatCode="General"/>
    <numFmt numFmtId="165" formatCode="@"/>
    <numFmt numFmtId="166" formatCode="General"/>
    <numFmt numFmtId="167" formatCode="0.0%"/>
    <numFmt numFmtId="168" formatCode="0%"/>
  </numFmts>
  <fonts count="12">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b val="true"/>
      <sz val="10"/>
      <name val="Arial"/>
      <family val="0"/>
      <charset val="1"/>
    </font>
    <font>
      <sz val="10"/>
      <name val="Arial"/>
      <family val="0"/>
      <charset val="1"/>
    </font>
    <font>
      <b val="true"/>
      <sz val="10"/>
      <color rgb="FFFFFFFF"/>
      <name val="Arial"/>
      <family val="0"/>
      <charset val="1"/>
    </font>
    <font>
      <sz val="10"/>
      <color rgb="FF0000FF"/>
      <name val="Arial"/>
      <family val="0"/>
      <charset val="1"/>
    </font>
    <font>
      <b val="true"/>
      <sz val="18"/>
      <color rgb="FF000000"/>
      <name val="Calibri"/>
      <family val="2"/>
    </font>
    <font>
      <sz val="10"/>
      <color rgb="FF000000"/>
      <name val="Calibri"/>
      <family val="2"/>
    </font>
    <font>
      <b val="true"/>
      <sz val="10"/>
      <color rgb="FF000000"/>
      <name val="Calibri"/>
      <family val="2"/>
    </font>
  </fonts>
  <fills count="3">
    <fill>
      <patternFill patternType="none"/>
    </fill>
    <fill>
      <patternFill patternType="gray125"/>
    </fill>
    <fill>
      <patternFill patternType="solid">
        <fgColor rgb="FF1F3864"/>
        <bgColor rgb="FF33333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center" vertical="top" textRotation="0" wrapText="true" indent="0" shrinkToFit="false"/>
      <protection locked="true" hidden="false"/>
    </xf>
    <xf numFmtId="165" fontId="6" fillId="0" borderId="1" xfId="0" applyFont="true" applyBorder="true" applyAlignment="true" applyProtection="false">
      <alignment horizontal="center"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center" vertical="top" textRotation="0" wrapText="true" indent="0" shrinkToFit="false"/>
      <protection locked="true" hidden="false"/>
    </xf>
    <xf numFmtId="164" fontId="8" fillId="0" borderId="1" xfId="0" applyFont="true" applyBorder="true" applyAlignment="true" applyProtection="false">
      <alignment horizontal="center" vertical="top"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6" fontId="6" fillId="0" borderId="1" xfId="0" applyFont="true" applyBorder="true" applyAlignment="true" applyProtection="false">
      <alignment horizontal="center" vertical="bottom" textRotation="0" wrapText="false" indent="0" shrinkToFit="false"/>
      <protection locked="true" hidden="false"/>
    </xf>
    <xf numFmtId="167" fontId="6" fillId="0" borderId="1" xfId="0" applyFont="true" applyBorder="true" applyAlignment="true" applyProtection="false">
      <alignment horizontal="center" vertical="bottom" textRotation="0" wrapText="false" indent="0" shrinkToFit="false"/>
      <protection locked="true" hidden="false"/>
    </xf>
    <xf numFmtId="166" fontId="5" fillId="0" borderId="1" xfId="0" applyFont="true" applyBorder="true" applyAlignment="true" applyProtection="false">
      <alignment horizontal="center" vertical="bottom" textRotation="0" wrapText="false" indent="0" shrinkToFit="false"/>
      <protection locked="true" hidden="false"/>
    </xf>
    <xf numFmtId="167" fontId="5" fillId="0" borderId="1"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0000FF"/>
          <bgColor rgb="FF000000"/>
        </patternFill>
      </fill>
    </dxf>
    <dxf>
      <fill>
        <patternFill patternType="solid">
          <fgColor rgb="FFC6E0B4"/>
          <bgColor rgb="FF000000"/>
        </patternFill>
      </fill>
    </dxf>
    <dxf>
      <fill>
        <patternFill patternType="solid">
          <fgColor rgb="FFD9D9D9"/>
          <bgColor rgb="FF000000"/>
        </patternFill>
      </fill>
    </dxf>
    <dxf>
      <fill>
        <patternFill patternType="solid">
          <fgColor rgb="FFF8CBAD"/>
          <bgColor rgb="FF000000"/>
        </patternFill>
      </fill>
    </dxf>
    <dxf>
      <fill>
        <patternFill patternType="solid">
          <fgColor rgb="FFFFE699"/>
          <bgColor rgb="FF000000"/>
        </patternFill>
      </fill>
    </dxf>
    <dxf>
      <fill>
        <patternFill>
          <bgColor rgb="FFC6E0B4"/>
        </patternFill>
      </fill>
    </dxf>
    <dxf>
      <fill>
        <patternFill>
          <bgColor rgb="FFFFE699"/>
        </patternFill>
      </fill>
    </dxf>
    <dxf>
      <fill>
        <patternFill>
          <bgColor rgb="FFF8CBAD"/>
        </patternFill>
      </fill>
    </dxf>
    <dxf>
      <fill>
        <patternFill>
          <bgColor rgb="FFD9D9D9"/>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78787"/>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0B4"/>
      <rgbColor rgb="FFFFE699"/>
      <rgbColor rgb="FF99CCFF"/>
      <rgbColor rgb="FFFF99CC"/>
      <rgbColor rgb="FFCC99FF"/>
      <rgbColor rgb="FFF8CBAD"/>
      <rgbColor rgb="FF3366FF"/>
      <rgbColor rgb="FF33CCCC"/>
      <rgbColor rgb="FF99CC00"/>
      <rgbColor rgb="FFFFCC00"/>
      <rgbColor rgb="FFFF9900"/>
      <rgbColor rgb="FFFF6600"/>
      <rgbColor rgb="FF4F81BD"/>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Compliance % by Theme</a:t>
            </a:r>
          </a:p>
        </c:rich>
      </c:tx>
      <c:overlay val="0"/>
      <c:spPr>
        <a:noFill/>
        <a:ln w="0">
          <a:noFill/>
        </a:ln>
      </c:spPr>
    </c:title>
    <c:autoTitleDeleted val="0"/>
    <c:plotArea>
      <c:barChart>
        <c:barDir val="col"/>
        <c:grouping val="clustered"/>
        <c:varyColors val="0"/>
        <c:ser>
          <c:idx val="0"/>
          <c:order val="0"/>
          <c:tx>
            <c:strRef>
              <c:f>Summary!H1</c:f>
              <c:strCache>
                <c:ptCount val="1"/>
                <c:pt idx="0">
                  <c:v>Compliance %</c:v>
                </c:pt>
              </c:strCache>
            </c:strRef>
          </c:tx>
          <c:spPr>
            <a:solidFill>
              <a:srgbClr val="4f81bd"/>
            </a:solidFill>
            <a:ln w="0">
              <a:noFill/>
            </a:ln>
          </c:spPr>
          <c:invertIfNegative val="0"/>
          <c:dLbls>
            <c:txPr>
              <a:bodyPr wrap="square"/>
              <a:lstStyle/>
              <a:p>
                <a:pPr>
                  <a:defRPr b="0" sz="1000" spc="-1" strike="noStrike">
                    <a:solidFill>
                      <a:srgbClr val="000000"/>
                    </a:solidFill>
                    <a:latin typeface="Calibri"/>
                  </a:defRPr>
                </a:pPr>
              </a:p>
            </c:txPr>
            <c:dLblPos val="outEnd"/>
            <c:showLegendKey val="1"/>
            <c:showVal val="1"/>
            <c:showCatName val="1"/>
            <c:showSerName val="1"/>
            <c:showPercent val="0"/>
            <c:separator>; </c:separator>
            <c:showLeaderLines val="1"/>
            <c:extLst>
              <c:ext xmlns:c15="http://schemas.microsoft.com/office/drawing/2012/chart" uri="{CE6537A1-D6FC-4f65-9D91-7224C49458BB}">
                <c15:showLeaderLines val="1"/>
              </c:ext>
            </c:extLst>
          </c:dLbls>
          <c:cat>
            <c:strRef>
              <c:f>Summary!$A$2:$A$5</c:f>
              <c:strCache>
                <c:ptCount val="4"/>
                <c:pt idx="0">
                  <c:v>Organizational</c:v>
                </c:pt>
                <c:pt idx="1">
                  <c:v>People</c:v>
                </c:pt>
                <c:pt idx="2">
                  <c:v>Physical</c:v>
                </c:pt>
                <c:pt idx="3">
                  <c:v>Technological</c:v>
                </c:pt>
              </c:strCache>
            </c:strRef>
          </c:cat>
          <c:val>
            <c:numRef>
              <c:f>Summary!$H$2:$H$5</c:f>
              <c:numCache>
                <c:formatCode>0.0%</c:formatCode>
                <c:ptCount val="4"/>
                <c:pt idx="0">
                  <c:v>0.22972972972973</c:v>
                </c:pt>
                <c:pt idx="1">
                  <c:v>0.5</c:v>
                </c:pt>
                <c:pt idx="2">
                  <c:v>0.535714285714286</c:v>
                </c:pt>
                <c:pt idx="3">
                  <c:v>0.25</c:v>
                </c:pt>
              </c:numCache>
            </c:numRef>
          </c:val>
        </c:ser>
        <c:gapWidth val="150"/>
        <c:overlap val="0"/>
        <c:axId val="34139661"/>
        <c:axId val="18920308"/>
      </c:barChart>
      <c:catAx>
        <c:axId val="34139661"/>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8920308"/>
        <c:crosses val="autoZero"/>
        <c:auto val="1"/>
        <c:lblAlgn val="ctr"/>
        <c:lblOffset val="100"/>
        <c:noMultiLvlLbl val="0"/>
      </c:catAx>
      <c:valAx>
        <c:axId val="18920308"/>
        <c:scaling>
          <c:orientation val="minMax"/>
          <c:max val="1"/>
          <c:min val="0"/>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Compliance</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4139661"/>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2.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15</xdr:row>
      <xdr:rowOff>0</xdr:rowOff>
    </xdr:from>
    <xdr:to>
      <xdr:col>4</xdr:col>
      <xdr:colOff>684720</xdr:colOff>
      <xdr:row>30</xdr:row>
      <xdr:rowOff>22320</xdr:rowOff>
    </xdr:to>
    <xdr:graphicFrame>
      <xdr:nvGraphicFramePr>
        <xdr:cNvPr id="0" name="Chart 1"/>
        <xdr:cNvGraphicFramePr/>
      </xdr:nvGraphicFramePr>
      <xdr:xfrm>
        <a:off x="0" y="3067200"/>
        <a:ext cx="575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10"/>
  </cols>
  <sheetData>
    <row r="1" customFormat="false" ht="17.35" hidden="false" customHeight="false" outlineLevel="0" collapsed="false">
      <c r="A1" s="1" t="s">
        <v>0</v>
      </c>
    </row>
    <row r="3" customFormat="false" ht="30" hidden="false" customHeight="true" outlineLevel="0" collapsed="false">
      <c r="A3" s="2" t="s">
        <v>1</v>
      </c>
      <c r="B3" s="3" t="s">
        <v>2</v>
      </c>
    </row>
    <row r="4" customFormat="false" ht="30" hidden="false" customHeight="true" outlineLevel="0" collapsed="false">
      <c r="A4" s="2" t="s">
        <v>3</v>
      </c>
      <c r="B4" s="3" t="s">
        <v>4</v>
      </c>
    </row>
    <row r="5" customFormat="false" ht="30" hidden="false" customHeight="true" outlineLevel="0" collapsed="false">
      <c r="A5" s="2" t="s">
        <v>5</v>
      </c>
      <c r="B5" s="3" t="s">
        <v>6</v>
      </c>
    </row>
    <row r="6" customFormat="false" ht="15" hidden="false" customHeight="false" outlineLevel="0" collapsed="false">
      <c r="A6" s="2" t="s">
        <v>7</v>
      </c>
      <c r="B6" s="3" t="s">
        <v>8</v>
      </c>
    </row>
    <row r="7" customFormat="false" ht="15" hidden="false" customHeight="false" outlineLevel="0" collapsed="false">
      <c r="A7" s="2" t="s">
        <v>9</v>
      </c>
      <c r="B7" s="3" t="s">
        <v>10</v>
      </c>
    </row>
    <row r="8" customFormat="false" ht="30" hidden="false" customHeight="true" outlineLevel="0" collapsed="false">
      <c r="A8" s="2" t="s">
        <v>11</v>
      </c>
      <c r="B8" s="3" t="s">
        <v>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9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44"/>
    <col collapsed="false" customWidth="true" hidden="false" outlineLevel="0" max="3" min="3" style="0" width="15"/>
    <col collapsed="false" customWidth="true" hidden="false" outlineLevel="0" max="4" min="4" style="0" width="19"/>
    <col collapsed="false" customWidth="true" hidden="false" outlineLevel="0" max="5" min="5" style="0" width="9"/>
    <col collapsed="false" customWidth="true" hidden="false" outlineLevel="0" max="6" min="6" style="0" width="48"/>
    <col collapsed="false" customWidth="true" hidden="false" outlineLevel="0" max="7" min="7" style="0" width="52"/>
    <col collapsed="false" customWidth="true" hidden="false" outlineLevel="0" max="8" min="8" style="0" width="10"/>
    <col collapsed="false" customWidth="true" hidden="false" outlineLevel="0" max="9" min="9" style="0" width="22"/>
    <col collapsed="false" customWidth="true" hidden="false" outlineLevel="0" max="10" min="10" style="0" width="14"/>
  </cols>
  <sheetData>
    <row r="1" customFormat="false" ht="23.85" hidden="false" customHeight="false" outlineLevel="0" collapsed="false">
      <c r="A1" s="4" t="s">
        <v>13</v>
      </c>
      <c r="B1" s="4" t="s">
        <v>14</v>
      </c>
      <c r="C1" s="4" t="s">
        <v>15</v>
      </c>
      <c r="D1" s="4" t="s">
        <v>16</v>
      </c>
      <c r="E1" s="4" t="s">
        <v>17</v>
      </c>
      <c r="F1" s="4" t="s">
        <v>18</v>
      </c>
      <c r="G1" s="4" t="s">
        <v>19</v>
      </c>
      <c r="H1" s="4" t="s">
        <v>20</v>
      </c>
      <c r="I1" s="4" t="s">
        <v>21</v>
      </c>
      <c r="J1" s="4" t="s">
        <v>22</v>
      </c>
    </row>
    <row r="2" customFormat="false" ht="23.85" hidden="false" customHeight="false" outlineLevel="0" collapsed="false">
      <c r="A2" s="5" t="s">
        <v>23</v>
      </c>
      <c r="B2" s="6" t="s">
        <v>24</v>
      </c>
      <c r="C2" s="7" t="s">
        <v>25</v>
      </c>
      <c r="D2" s="8" t="s">
        <v>26</v>
      </c>
      <c r="E2" s="7" t="n">
        <f aca="false">IF(D2="Implemented",1,IF(D2="Partially implemented",0.5,IF(D2="Not implemented",0,"")))</f>
        <v>0.5</v>
      </c>
      <c r="F2" s="6" t="s">
        <v>27</v>
      </c>
      <c r="G2" s="6" t="s">
        <v>28</v>
      </c>
      <c r="H2" s="8" t="s">
        <v>29</v>
      </c>
      <c r="I2" s="6" t="s">
        <v>30</v>
      </c>
      <c r="J2" s="8"/>
    </row>
    <row r="3" customFormat="false" ht="15" hidden="false" customHeight="false" outlineLevel="0" collapsed="false">
      <c r="A3" s="5" t="s">
        <v>31</v>
      </c>
      <c r="B3" s="6" t="s">
        <v>32</v>
      </c>
      <c r="C3" s="7" t="s">
        <v>25</v>
      </c>
      <c r="D3" s="8" t="s">
        <v>33</v>
      </c>
      <c r="E3" s="7" t="n">
        <f aca="false">IF(D3="Implemented",1,IF(D3="Partially implemented",0.5,IF(D3="Not implemented",0,"")))</f>
        <v>0</v>
      </c>
      <c r="F3" s="6" t="s">
        <v>34</v>
      </c>
      <c r="G3" s="6" t="s">
        <v>35</v>
      </c>
      <c r="H3" s="8" t="s">
        <v>29</v>
      </c>
      <c r="I3" s="6" t="s">
        <v>30</v>
      </c>
      <c r="J3" s="8"/>
    </row>
    <row r="4" customFormat="false" ht="23.85" hidden="false" customHeight="false" outlineLevel="0" collapsed="false">
      <c r="A4" s="5" t="s">
        <v>36</v>
      </c>
      <c r="B4" s="6" t="s">
        <v>37</v>
      </c>
      <c r="C4" s="7" t="s">
        <v>25</v>
      </c>
      <c r="D4" s="8" t="s">
        <v>26</v>
      </c>
      <c r="E4" s="7" t="n">
        <f aca="false">IF(D4="Implemented",1,IF(D4="Partially implemented",0.5,IF(D4="Not implemented",0,"")))</f>
        <v>0.5</v>
      </c>
      <c r="F4" s="6" t="s">
        <v>38</v>
      </c>
      <c r="G4" s="6" t="s">
        <v>39</v>
      </c>
      <c r="H4" s="8" t="s">
        <v>40</v>
      </c>
      <c r="I4" s="6" t="s">
        <v>30</v>
      </c>
      <c r="J4" s="8"/>
    </row>
    <row r="5" customFormat="false" ht="15" hidden="false" customHeight="false" outlineLevel="0" collapsed="false">
      <c r="A5" s="5" t="s">
        <v>41</v>
      </c>
      <c r="B5" s="6" t="s">
        <v>42</v>
      </c>
      <c r="C5" s="7" t="s">
        <v>25</v>
      </c>
      <c r="D5" s="8" t="s">
        <v>26</v>
      </c>
      <c r="E5" s="7" t="n">
        <f aca="false">IF(D5="Implemented",1,IF(D5="Partially implemented",0.5,IF(D5="Not implemented",0,"")))</f>
        <v>0.5</v>
      </c>
      <c r="F5" s="6" t="s">
        <v>43</v>
      </c>
      <c r="G5" s="6" t="s">
        <v>44</v>
      </c>
      <c r="H5" s="8" t="s">
        <v>40</v>
      </c>
      <c r="I5" s="6" t="s">
        <v>30</v>
      </c>
      <c r="J5" s="8"/>
    </row>
    <row r="6" customFormat="false" ht="23.85" hidden="false" customHeight="false" outlineLevel="0" collapsed="false">
      <c r="A6" s="5" t="s">
        <v>45</v>
      </c>
      <c r="B6" s="6" t="s">
        <v>46</v>
      </c>
      <c r="C6" s="7" t="s">
        <v>25</v>
      </c>
      <c r="D6" s="8" t="s">
        <v>33</v>
      </c>
      <c r="E6" s="7" t="n">
        <f aca="false">IF(D6="Implemented",1,IF(D6="Partially implemented",0.5,IF(D6="Not implemented",0,"")))</f>
        <v>0</v>
      </c>
      <c r="F6" s="6" t="s">
        <v>47</v>
      </c>
      <c r="G6" s="6" t="s">
        <v>48</v>
      </c>
      <c r="H6" s="8" t="s">
        <v>49</v>
      </c>
      <c r="I6" s="6" t="s">
        <v>30</v>
      </c>
      <c r="J6" s="8"/>
    </row>
    <row r="7" customFormat="false" ht="15" hidden="false" customHeight="false" outlineLevel="0" collapsed="false">
      <c r="A7" s="5" t="s">
        <v>50</v>
      </c>
      <c r="B7" s="6" t="s">
        <v>51</v>
      </c>
      <c r="C7" s="7" t="s">
        <v>25</v>
      </c>
      <c r="D7" s="8" t="s">
        <v>33</v>
      </c>
      <c r="E7" s="7" t="n">
        <f aca="false">IF(D7="Implemented",1,IF(D7="Partially implemented",0.5,IF(D7="Not implemented",0,"")))</f>
        <v>0</v>
      </c>
      <c r="F7" s="6" t="s">
        <v>52</v>
      </c>
      <c r="G7" s="6" t="s">
        <v>53</v>
      </c>
      <c r="H7" s="8" t="s">
        <v>49</v>
      </c>
      <c r="I7" s="6" t="s">
        <v>30</v>
      </c>
      <c r="J7" s="8"/>
    </row>
    <row r="8" customFormat="false" ht="15" hidden="false" customHeight="false" outlineLevel="0" collapsed="false">
      <c r="A8" s="5" t="s">
        <v>54</v>
      </c>
      <c r="B8" s="6" t="s">
        <v>55</v>
      </c>
      <c r="C8" s="7" t="s">
        <v>25</v>
      </c>
      <c r="D8" s="8" t="s">
        <v>33</v>
      </c>
      <c r="E8" s="7" t="n">
        <f aca="false">IF(D8="Implemented",1,IF(D8="Partially implemented",0.5,IF(D8="Not implemented",0,"")))</f>
        <v>0</v>
      </c>
      <c r="F8" s="6" t="s">
        <v>56</v>
      </c>
      <c r="G8" s="6" t="s">
        <v>57</v>
      </c>
      <c r="H8" s="8" t="s">
        <v>40</v>
      </c>
      <c r="I8" s="6" t="s">
        <v>30</v>
      </c>
      <c r="J8" s="8"/>
    </row>
    <row r="9" customFormat="false" ht="15" hidden="false" customHeight="false" outlineLevel="0" collapsed="false">
      <c r="A9" s="5" t="s">
        <v>58</v>
      </c>
      <c r="B9" s="6" t="s">
        <v>59</v>
      </c>
      <c r="C9" s="7" t="s">
        <v>25</v>
      </c>
      <c r="D9" s="8" t="s">
        <v>33</v>
      </c>
      <c r="E9" s="7" t="n">
        <f aca="false">IF(D9="Implemented",1,IF(D9="Partially implemented",0.5,IF(D9="Not implemented",0,"")))</f>
        <v>0</v>
      </c>
      <c r="F9" s="6" t="s">
        <v>60</v>
      </c>
      <c r="G9" s="6" t="s">
        <v>61</v>
      </c>
      <c r="H9" s="8" t="s">
        <v>49</v>
      </c>
      <c r="I9" s="6" t="s">
        <v>30</v>
      </c>
      <c r="J9" s="8"/>
    </row>
    <row r="10" customFormat="false" ht="23.85" hidden="false" customHeight="false" outlineLevel="0" collapsed="false">
      <c r="A10" s="5" t="s">
        <v>62</v>
      </c>
      <c r="B10" s="6" t="s">
        <v>63</v>
      </c>
      <c r="C10" s="7" t="s">
        <v>25</v>
      </c>
      <c r="D10" s="8" t="s">
        <v>26</v>
      </c>
      <c r="E10" s="7" t="n">
        <f aca="false">IF(D10="Implemented",1,IF(D10="Partially implemented",0.5,IF(D10="Not implemented",0,"")))</f>
        <v>0.5</v>
      </c>
      <c r="F10" s="6" t="s">
        <v>64</v>
      </c>
      <c r="G10" s="6" t="s">
        <v>65</v>
      </c>
      <c r="H10" s="8" t="s">
        <v>40</v>
      </c>
      <c r="I10" s="6" t="s">
        <v>30</v>
      </c>
      <c r="J10" s="8"/>
    </row>
    <row r="11" customFormat="false" ht="23.85" hidden="false" customHeight="false" outlineLevel="0" collapsed="false">
      <c r="A11" s="5" t="s">
        <v>66</v>
      </c>
      <c r="B11" s="6" t="s">
        <v>67</v>
      </c>
      <c r="C11" s="7" t="s">
        <v>25</v>
      </c>
      <c r="D11" s="8" t="s">
        <v>26</v>
      </c>
      <c r="E11" s="7" t="n">
        <f aca="false">IF(D11="Implemented",1,IF(D11="Partially implemented",0.5,IF(D11="Not implemented",0,"")))</f>
        <v>0.5</v>
      </c>
      <c r="F11" s="6" t="s">
        <v>68</v>
      </c>
      <c r="G11" s="6" t="s">
        <v>69</v>
      </c>
      <c r="H11" s="8" t="s">
        <v>49</v>
      </c>
      <c r="I11" s="6" t="s">
        <v>70</v>
      </c>
      <c r="J11" s="8"/>
    </row>
    <row r="12" customFormat="false" ht="15" hidden="false" customHeight="false" outlineLevel="0" collapsed="false">
      <c r="A12" s="5" t="s">
        <v>71</v>
      </c>
      <c r="B12" s="6" t="s">
        <v>72</v>
      </c>
      <c r="C12" s="7" t="s">
        <v>25</v>
      </c>
      <c r="D12" s="8" t="s">
        <v>26</v>
      </c>
      <c r="E12" s="7" t="n">
        <f aca="false">IF(D12="Implemented",1,IF(D12="Partially implemented",0.5,IF(D12="Not implemented",0,"")))</f>
        <v>0.5</v>
      </c>
      <c r="F12" s="6" t="s">
        <v>73</v>
      </c>
      <c r="G12" s="6" t="s">
        <v>74</v>
      </c>
      <c r="H12" s="8" t="s">
        <v>49</v>
      </c>
      <c r="I12" s="6" t="s">
        <v>70</v>
      </c>
      <c r="J12" s="8"/>
    </row>
    <row r="13" customFormat="false" ht="23.85" hidden="false" customHeight="false" outlineLevel="0" collapsed="false">
      <c r="A13" s="5" t="s">
        <v>75</v>
      </c>
      <c r="B13" s="6" t="s">
        <v>76</v>
      </c>
      <c r="C13" s="7" t="s">
        <v>25</v>
      </c>
      <c r="D13" s="8" t="s">
        <v>33</v>
      </c>
      <c r="E13" s="7" t="n">
        <f aca="false">IF(D13="Implemented",1,IF(D13="Partially implemented",0.5,IF(D13="Not implemented",0,"")))</f>
        <v>0</v>
      </c>
      <c r="F13" s="6" t="s">
        <v>77</v>
      </c>
      <c r="G13" s="6" t="s">
        <v>78</v>
      </c>
      <c r="H13" s="8" t="s">
        <v>40</v>
      </c>
      <c r="I13" s="6" t="s">
        <v>79</v>
      </c>
      <c r="J13" s="8" t="s">
        <v>80</v>
      </c>
    </row>
    <row r="14" customFormat="false" ht="15" hidden="false" customHeight="false" outlineLevel="0" collapsed="false">
      <c r="A14" s="5" t="s">
        <v>81</v>
      </c>
      <c r="B14" s="6" t="s">
        <v>82</v>
      </c>
      <c r="C14" s="7" t="s">
        <v>25</v>
      </c>
      <c r="D14" s="8" t="s">
        <v>33</v>
      </c>
      <c r="E14" s="7" t="n">
        <f aca="false">IF(D14="Implemented",1,IF(D14="Partially implemented",0.5,IF(D14="Not implemented",0,"")))</f>
        <v>0</v>
      </c>
      <c r="F14" s="6" t="s">
        <v>83</v>
      </c>
      <c r="G14" s="6" t="s">
        <v>84</v>
      </c>
      <c r="H14" s="8" t="s">
        <v>49</v>
      </c>
      <c r="I14" s="6" t="s">
        <v>30</v>
      </c>
      <c r="J14" s="8"/>
    </row>
    <row r="15" customFormat="false" ht="23.85" hidden="false" customHeight="false" outlineLevel="0" collapsed="false">
      <c r="A15" s="5" t="s">
        <v>85</v>
      </c>
      <c r="B15" s="6" t="s">
        <v>86</v>
      </c>
      <c r="C15" s="7" t="s">
        <v>25</v>
      </c>
      <c r="D15" s="8" t="s">
        <v>26</v>
      </c>
      <c r="E15" s="7" t="n">
        <f aca="false">IF(D15="Implemented",1,IF(D15="Partially implemented",0.5,IF(D15="Not implemented",0,"")))</f>
        <v>0.5</v>
      </c>
      <c r="F15" s="6" t="s">
        <v>87</v>
      </c>
      <c r="G15" s="6" t="s">
        <v>88</v>
      </c>
      <c r="H15" s="8" t="s">
        <v>40</v>
      </c>
      <c r="I15" s="6" t="s">
        <v>30</v>
      </c>
      <c r="J15" s="8"/>
    </row>
    <row r="16" customFormat="false" ht="15" hidden="false" customHeight="false" outlineLevel="0" collapsed="false">
      <c r="A16" s="5" t="s">
        <v>89</v>
      </c>
      <c r="B16" s="6" t="s">
        <v>90</v>
      </c>
      <c r="C16" s="7" t="s">
        <v>25</v>
      </c>
      <c r="D16" s="8" t="s">
        <v>26</v>
      </c>
      <c r="E16" s="7" t="n">
        <f aca="false">IF(D16="Implemented",1,IF(D16="Partially implemented",0.5,IF(D16="Not implemented",0,"")))</f>
        <v>0.5</v>
      </c>
      <c r="F16" s="6" t="s">
        <v>91</v>
      </c>
      <c r="G16" s="6" t="s">
        <v>92</v>
      </c>
      <c r="H16" s="8" t="s">
        <v>29</v>
      </c>
      <c r="I16" s="6" t="s">
        <v>30</v>
      </c>
      <c r="J16" s="8" t="s">
        <v>93</v>
      </c>
    </row>
    <row r="17" customFormat="false" ht="23.85" hidden="false" customHeight="false" outlineLevel="0" collapsed="false">
      <c r="A17" s="5" t="s">
        <v>94</v>
      </c>
      <c r="B17" s="6" t="s">
        <v>95</v>
      </c>
      <c r="C17" s="7" t="s">
        <v>25</v>
      </c>
      <c r="D17" s="8" t="s">
        <v>26</v>
      </c>
      <c r="E17" s="7" t="n">
        <f aca="false">IF(D17="Implemented",1,IF(D17="Partially implemented",0.5,IF(D17="Not implemented",0,"")))</f>
        <v>0.5</v>
      </c>
      <c r="F17" s="6" t="s">
        <v>96</v>
      </c>
      <c r="G17" s="6" t="s">
        <v>97</v>
      </c>
      <c r="H17" s="8" t="s">
        <v>29</v>
      </c>
      <c r="I17" s="6" t="s">
        <v>30</v>
      </c>
      <c r="J17" s="8" t="s">
        <v>93</v>
      </c>
    </row>
    <row r="18" customFormat="false" ht="15" hidden="false" customHeight="false" outlineLevel="0" collapsed="false">
      <c r="A18" s="5" t="s">
        <v>98</v>
      </c>
      <c r="B18" s="6" t="s">
        <v>99</v>
      </c>
      <c r="C18" s="7" t="s">
        <v>25</v>
      </c>
      <c r="D18" s="8" t="s">
        <v>26</v>
      </c>
      <c r="E18" s="7" t="n">
        <f aca="false">IF(D18="Implemented",1,IF(D18="Partially implemented",0.5,IF(D18="Not implemented",0,"")))</f>
        <v>0.5</v>
      </c>
      <c r="F18" s="6" t="s">
        <v>100</v>
      </c>
      <c r="G18" s="6" t="s">
        <v>101</v>
      </c>
      <c r="H18" s="8" t="s">
        <v>29</v>
      </c>
      <c r="I18" s="6" t="s">
        <v>30</v>
      </c>
      <c r="J18" s="8"/>
    </row>
    <row r="19" customFormat="false" ht="15" hidden="false" customHeight="false" outlineLevel="0" collapsed="false">
      <c r="A19" s="5" t="s">
        <v>102</v>
      </c>
      <c r="B19" s="6" t="s">
        <v>103</v>
      </c>
      <c r="C19" s="7" t="s">
        <v>25</v>
      </c>
      <c r="D19" s="8" t="s">
        <v>26</v>
      </c>
      <c r="E19" s="7" t="n">
        <f aca="false">IF(D19="Implemented",1,IF(D19="Partially implemented",0.5,IF(D19="Not implemented",0,"")))</f>
        <v>0.5</v>
      </c>
      <c r="F19" s="6" t="s">
        <v>104</v>
      </c>
      <c r="G19" s="6" t="s">
        <v>105</v>
      </c>
      <c r="H19" s="8" t="s">
        <v>29</v>
      </c>
      <c r="I19" s="6" t="s">
        <v>30</v>
      </c>
      <c r="J19" s="8" t="s">
        <v>93</v>
      </c>
    </row>
    <row r="20" customFormat="false" ht="15" hidden="false" customHeight="false" outlineLevel="0" collapsed="false">
      <c r="A20" s="5" t="s">
        <v>106</v>
      </c>
      <c r="B20" s="6" t="s">
        <v>107</v>
      </c>
      <c r="C20" s="7" t="s">
        <v>25</v>
      </c>
      <c r="D20" s="8" t="s">
        <v>33</v>
      </c>
      <c r="E20" s="7" t="n">
        <f aca="false">IF(D20="Implemented",1,IF(D20="Partially implemented",0.5,IF(D20="Not implemented",0,"")))</f>
        <v>0</v>
      </c>
      <c r="F20" s="6" t="s">
        <v>108</v>
      </c>
      <c r="G20" s="6" t="s">
        <v>109</v>
      </c>
      <c r="H20" s="8" t="s">
        <v>29</v>
      </c>
      <c r="I20" s="6" t="s">
        <v>110</v>
      </c>
      <c r="J20" s="8" t="s">
        <v>111</v>
      </c>
    </row>
    <row r="21" customFormat="false" ht="23.85" hidden="false" customHeight="false" outlineLevel="0" collapsed="false">
      <c r="A21" s="5" t="s">
        <v>112</v>
      </c>
      <c r="B21" s="6" t="s">
        <v>113</v>
      </c>
      <c r="C21" s="7" t="s">
        <v>25</v>
      </c>
      <c r="D21" s="8" t="s">
        <v>33</v>
      </c>
      <c r="E21" s="7" t="n">
        <f aca="false">IF(D21="Implemented",1,IF(D21="Partially implemented",0.5,IF(D21="Not implemented",0,"")))</f>
        <v>0</v>
      </c>
      <c r="F21" s="6" t="s">
        <v>114</v>
      </c>
      <c r="G21" s="6" t="s">
        <v>115</v>
      </c>
      <c r="H21" s="8" t="s">
        <v>29</v>
      </c>
      <c r="I21" s="6" t="s">
        <v>110</v>
      </c>
      <c r="J21" s="8" t="s">
        <v>111</v>
      </c>
    </row>
    <row r="22" customFormat="false" ht="15" hidden="false" customHeight="false" outlineLevel="0" collapsed="false">
      <c r="A22" s="5" t="s">
        <v>116</v>
      </c>
      <c r="B22" s="6" t="s">
        <v>117</v>
      </c>
      <c r="C22" s="7" t="s">
        <v>25</v>
      </c>
      <c r="D22" s="8" t="s">
        <v>33</v>
      </c>
      <c r="E22" s="7" t="n">
        <f aca="false">IF(D22="Implemented",1,IF(D22="Partially implemented",0.5,IF(D22="Not implemented",0,"")))</f>
        <v>0</v>
      </c>
      <c r="F22" s="6" t="s">
        <v>118</v>
      </c>
      <c r="G22" s="6" t="s">
        <v>119</v>
      </c>
      <c r="H22" s="8" t="s">
        <v>40</v>
      </c>
      <c r="I22" s="6" t="s">
        <v>110</v>
      </c>
      <c r="J22" s="8"/>
    </row>
    <row r="23" customFormat="false" ht="23.85" hidden="false" customHeight="false" outlineLevel="0" collapsed="false">
      <c r="A23" s="5" t="s">
        <v>120</v>
      </c>
      <c r="B23" s="6" t="s">
        <v>121</v>
      </c>
      <c r="C23" s="7" t="s">
        <v>25</v>
      </c>
      <c r="D23" s="8" t="s">
        <v>33</v>
      </c>
      <c r="E23" s="7" t="n">
        <f aca="false">IF(D23="Implemented",1,IF(D23="Partially implemented",0.5,IF(D23="Not implemented",0,"")))</f>
        <v>0</v>
      </c>
      <c r="F23" s="6" t="s">
        <v>122</v>
      </c>
      <c r="G23" s="6" t="s">
        <v>123</v>
      </c>
      <c r="H23" s="8" t="s">
        <v>40</v>
      </c>
      <c r="I23" s="6" t="s">
        <v>110</v>
      </c>
      <c r="J23" s="8"/>
    </row>
    <row r="24" customFormat="false" ht="23.85" hidden="false" customHeight="false" outlineLevel="0" collapsed="false">
      <c r="A24" s="5" t="s">
        <v>124</v>
      </c>
      <c r="B24" s="6" t="s">
        <v>125</v>
      </c>
      <c r="C24" s="7" t="s">
        <v>25</v>
      </c>
      <c r="D24" s="8" t="s">
        <v>33</v>
      </c>
      <c r="E24" s="7" t="n">
        <f aca="false">IF(D24="Implemented",1,IF(D24="Partially implemented",0.5,IF(D24="Not implemented",0,"")))</f>
        <v>0</v>
      </c>
      <c r="F24" s="6" t="s">
        <v>126</v>
      </c>
      <c r="G24" s="6" t="s">
        <v>127</v>
      </c>
      <c r="H24" s="8" t="s">
        <v>29</v>
      </c>
      <c r="I24" s="6" t="s">
        <v>30</v>
      </c>
      <c r="J24" s="8" t="s">
        <v>111</v>
      </c>
    </row>
    <row r="25" customFormat="false" ht="23.85" hidden="false" customHeight="false" outlineLevel="0" collapsed="false">
      <c r="A25" s="5" t="s">
        <v>128</v>
      </c>
      <c r="B25" s="6" t="s">
        <v>129</v>
      </c>
      <c r="C25" s="7" t="s">
        <v>25</v>
      </c>
      <c r="D25" s="8" t="s">
        <v>33</v>
      </c>
      <c r="E25" s="7" t="n">
        <f aca="false">IF(D25="Implemented",1,IF(D25="Partially implemented",0.5,IF(D25="Not implemented",0,"")))</f>
        <v>0</v>
      </c>
      <c r="F25" s="6" t="s">
        <v>130</v>
      </c>
      <c r="G25" s="6" t="s">
        <v>131</v>
      </c>
      <c r="H25" s="8" t="s">
        <v>29</v>
      </c>
      <c r="I25" s="6" t="s">
        <v>30</v>
      </c>
      <c r="J25" s="8"/>
    </row>
    <row r="26" customFormat="false" ht="23.85" hidden="false" customHeight="false" outlineLevel="0" collapsed="false">
      <c r="A26" s="5" t="s">
        <v>132</v>
      </c>
      <c r="B26" s="6" t="s">
        <v>133</v>
      </c>
      <c r="C26" s="7" t="s">
        <v>25</v>
      </c>
      <c r="D26" s="8" t="s">
        <v>33</v>
      </c>
      <c r="E26" s="7" t="n">
        <f aca="false">IF(D26="Implemented",1,IF(D26="Partially implemented",0.5,IF(D26="Not implemented",0,"")))</f>
        <v>0</v>
      </c>
      <c r="F26" s="6" t="s">
        <v>134</v>
      </c>
      <c r="G26" s="6" t="s">
        <v>135</v>
      </c>
      <c r="H26" s="8" t="s">
        <v>40</v>
      </c>
      <c r="I26" s="6" t="s">
        <v>30</v>
      </c>
      <c r="J26" s="8"/>
    </row>
    <row r="27" customFormat="false" ht="15" hidden="false" customHeight="false" outlineLevel="0" collapsed="false">
      <c r="A27" s="5" t="s">
        <v>136</v>
      </c>
      <c r="B27" s="6" t="s">
        <v>137</v>
      </c>
      <c r="C27" s="7" t="s">
        <v>25</v>
      </c>
      <c r="D27" s="8" t="s">
        <v>26</v>
      </c>
      <c r="E27" s="7" t="n">
        <f aca="false">IF(D27="Implemented",1,IF(D27="Partially implemented",0.5,IF(D27="Not implemented",0,"")))</f>
        <v>0.5</v>
      </c>
      <c r="F27" s="6" t="s">
        <v>138</v>
      </c>
      <c r="G27" s="6" t="s">
        <v>139</v>
      </c>
      <c r="H27" s="8" t="s">
        <v>29</v>
      </c>
      <c r="I27" s="6" t="s">
        <v>30</v>
      </c>
      <c r="J27" s="8"/>
    </row>
    <row r="28" customFormat="false" ht="15" hidden="false" customHeight="false" outlineLevel="0" collapsed="false">
      <c r="A28" s="5" t="s">
        <v>140</v>
      </c>
      <c r="B28" s="6" t="s">
        <v>141</v>
      </c>
      <c r="C28" s="7" t="s">
        <v>25</v>
      </c>
      <c r="D28" s="8" t="s">
        <v>33</v>
      </c>
      <c r="E28" s="7" t="n">
        <f aca="false">IF(D28="Implemented",1,IF(D28="Partially implemented",0.5,IF(D28="Not implemented",0,"")))</f>
        <v>0</v>
      </c>
      <c r="F28" s="6" t="s">
        <v>142</v>
      </c>
      <c r="G28" s="6" t="s">
        <v>143</v>
      </c>
      <c r="H28" s="8" t="s">
        <v>40</v>
      </c>
      <c r="I28" s="6" t="s">
        <v>30</v>
      </c>
      <c r="J28" s="8"/>
    </row>
    <row r="29" customFormat="false" ht="15" hidden="false" customHeight="false" outlineLevel="0" collapsed="false">
      <c r="A29" s="5" t="s">
        <v>144</v>
      </c>
      <c r="B29" s="6" t="s">
        <v>145</v>
      </c>
      <c r="C29" s="7" t="s">
        <v>25</v>
      </c>
      <c r="D29" s="8" t="s">
        <v>33</v>
      </c>
      <c r="E29" s="7" t="n">
        <f aca="false">IF(D29="Implemented",1,IF(D29="Partially implemented",0.5,IF(D29="Not implemented",0,"")))</f>
        <v>0</v>
      </c>
      <c r="F29" s="6" t="s">
        <v>146</v>
      </c>
      <c r="G29" s="6" t="s">
        <v>147</v>
      </c>
      <c r="H29" s="8" t="s">
        <v>49</v>
      </c>
      <c r="I29" s="6" t="s">
        <v>30</v>
      </c>
      <c r="J29" s="8"/>
    </row>
    <row r="30" customFormat="false" ht="15" hidden="false" customHeight="false" outlineLevel="0" collapsed="false">
      <c r="A30" s="5" t="s">
        <v>148</v>
      </c>
      <c r="B30" s="6" t="s">
        <v>149</v>
      </c>
      <c r="C30" s="7" t="s">
        <v>25</v>
      </c>
      <c r="D30" s="8" t="s">
        <v>33</v>
      </c>
      <c r="E30" s="7" t="n">
        <f aca="false">IF(D30="Implemented",1,IF(D30="Partially implemented",0.5,IF(D30="Not implemented",0,"")))</f>
        <v>0</v>
      </c>
      <c r="F30" s="6" t="s">
        <v>150</v>
      </c>
      <c r="G30" s="6" t="s">
        <v>151</v>
      </c>
      <c r="H30" s="8" t="s">
        <v>40</v>
      </c>
      <c r="I30" s="6" t="s">
        <v>30</v>
      </c>
      <c r="J30" s="8"/>
    </row>
    <row r="31" customFormat="false" ht="15" hidden="false" customHeight="false" outlineLevel="0" collapsed="false">
      <c r="A31" s="5" t="s">
        <v>152</v>
      </c>
      <c r="B31" s="6" t="s">
        <v>153</v>
      </c>
      <c r="C31" s="7" t="s">
        <v>25</v>
      </c>
      <c r="D31" s="8" t="s">
        <v>26</v>
      </c>
      <c r="E31" s="7" t="n">
        <f aca="false">IF(D31="Implemented",1,IF(D31="Partially implemented",0.5,IF(D31="Not implemented",0,"")))</f>
        <v>0.5</v>
      </c>
      <c r="F31" s="6" t="s">
        <v>154</v>
      </c>
      <c r="G31" s="6" t="s">
        <v>155</v>
      </c>
      <c r="H31" s="8" t="s">
        <v>29</v>
      </c>
      <c r="I31" s="6" t="s">
        <v>30</v>
      </c>
      <c r="J31" s="8" t="s">
        <v>156</v>
      </c>
    </row>
    <row r="32" customFormat="false" ht="23.85" hidden="false" customHeight="false" outlineLevel="0" collapsed="false">
      <c r="A32" s="5" t="s">
        <v>157</v>
      </c>
      <c r="B32" s="6" t="s">
        <v>158</v>
      </c>
      <c r="C32" s="7" t="s">
        <v>25</v>
      </c>
      <c r="D32" s="8" t="s">
        <v>26</v>
      </c>
      <c r="E32" s="7" t="n">
        <f aca="false">IF(D32="Implemented",1,IF(D32="Partially implemented",0.5,IF(D32="Not implemented",0,"")))</f>
        <v>0.5</v>
      </c>
      <c r="F32" s="6" t="s">
        <v>159</v>
      </c>
      <c r="G32" s="6" t="s">
        <v>160</v>
      </c>
      <c r="H32" s="8" t="s">
        <v>29</v>
      </c>
      <c r="I32" s="6" t="s">
        <v>161</v>
      </c>
      <c r="J32" s="8" t="s">
        <v>162</v>
      </c>
    </row>
    <row r="33" customFormat="false" ht="23.85" hidden="false" customHeight="false" outlineLevel="0" collapsed="false">
      <c r="A33" s="5" t="s">
        <v>163</v>
      </c>
      <c r="B33" s="6" t="s">
        <v>164</v>
      </c>
      <c r="C33" s="7" t="s">
        <v>25</v>
      </c>
      <c r="D33" s="8" t="s">
        <v>26</v>
      </c>
      <c r="E33" s="7" t="n">
        <f aca="false">IF(D33="Implemented",1,IF(D33="Partially implemented",0.5,IF(D33="Not implemented",0,"")))</f>
        <v>0.5</v>
      </c>
      <c r="F33" s="6" t="s">
        <v>165</v>
      </c>
      <c r="G33" s="6" t="s">
        <v>166</v>
      </c>
      <c r="H33" s="8" t="s">
        <v>49</v>
      </c>
      <c r="I33" s="6" t="s">
        <v>30</v>
      </c>
      <c r="J33" s="8"/>
    </row>
    <row r="34" customFormat="false" ht="23.85" hidden="false" customHeight="false" outlineLevel="0" collapsed="false">
      <c r="A34" s="5" t="s">
        <v>167</v>
      </c>
      <c r="B34" s="6" t="s">
        <v>168</v>
      </c>
      <c r="C34" s="7" t="s">
        <v>25</v>
      </c>
      <c r="D34" s="8" t="s">
        <v>26</v>
      </c>
      <c r="E34" s="7" t="n">
        <f aca="false">IF(D34="Implemented",1,IF(D34="Partially implemented",0.5,IF(D34="Not implemented",0,"")))</f>
        <v>0.5</v>
      </c>
      <c r="F34" s="6" t="s">
        <v>169</v>
      </c>
      <c r="G34" s="6" t="s">
        <v>170</v>
      </c>
      <c r="H34" s="8" t="s">
        <v>40</v>
      </c>
      <c r="I34" s="6" t="s">
        <v>161</v>
      </c>
      <c r="J34" s="8"/>
    </row>
    <row r="35" customFormat="false" ht="23.85" hidden="false" customHeight="false" outlineLevel="0" collapsed="false">
      <c r="A35" s="5" t="s">
        <v>171</v>
      </c>
      <c r="B35" s="6" t="s">
        <v>172</v>
      </c>
      <c r="C35" s="7" t="s">
        <v>25</v>
      </c>
      <c r="D35" s="8" t="s">
        <v>33</v>
      </c>
      <c r="E35" s="7" t="n">
        <f aca="false">IF(D35="Implemented",1,IF(D35="Partially implemented",0.5,IF(D35="Not implemented",0,"")))</f>
        <v>0</v>
      </c>
      <c r="F35" s="6" t="s">
        <v>173</v>
      </c>
      <c r="G35" s="6" t="s">
        <v>174</v>
      </c>
      <c r="H35" s="8" t="s">
        <v>29</v>
      </c>
      <c r="I35" s="6" t="s">
        <v>161</v>
      </c>
      <c r="J35" s="8" t="s">
        <v>162</v>
      </c>
    </row>
    <row r="36" customFormat="false" ht="15" hidden="false" customHeight="false" outlineLevel="0" collapsed="false">
      <c r="A36" s="5" t="s">
        <v>175</v>
      </c>
      <c r="B36" s="6" t="s">
        <v>176</v>
      </c>
      <c r="C36" s="7" t="s">
        <v>25</v>
      </c>
      <c r="D36" s="8" t="s">
        <v>33</v>
      </c>
      <c r="E36" s="7" t="n">
        <f aca="false">IF(D36="Implemented",1,IF(D36="Partially implemented",0.5,IF(D36="Not implemented",0,"")))</f>
        <v>0</v>
      </c>
      <c r="F36" s="6" t="s">
        <v>177</v>
      </c>
      <c r="G36" s="6" t="s">
        <v>178</v>
      </c>
      <c r="H36" s="8" t="s">
        <v>40</v>
      </c>
      <c r="I36" s="6" t="s">
        <v>30</v>
      </c>
      <c r="J36" s="8"/>
    </row>
    <row r="37" customFormat="false" ht="23.85" hidden="false" customHeight="false" outlineLevel="0" collapsed="false">
      <c r="A37" s="5" t="s">
        <v>179</v>
      </c>
      <c r="B37" s="6" t="s">
        <v>180</v>
      </c>
      <c r="C37" s="7" t="s">
        <v>25</v>
      </c>
      <c r="D37" s="8" t="s">
        <v>33</v>
      </c>
      <c r="E37" s="7" t="n">
        <f aca="false">IF(D37="Implemented",1,IF(D37="Partially implemented",0.5,IF(D37="Not implemented",0,"")))</f>
        <v>0</v>
      </c>
      <c r="F37" s="6" t="s">
        <v>181</v>
      </c>
      <c r="G37" s="6" t="s">
        <v>182</v>
      </c>
      <c r="H37" s="8" t="s">
        <v>40</v>
      </c>
      <c r="I37" s="6" t="s">
        <v>30</v>
      </c>
      <c r="J37" s="8"/>
    </row>
    <row r="38" customFormat="false" ht="15" hidden="false" customHeight="false" outlineLevel="0" collapsed="false">
      <c r="A38" s="5" t="s">
        <v>183</v>
      </c>
      <c r="B38" s="6" t="s">
        <v>184</v>
      </c>
      <c r="C38" s="7" t="s">
        <v>25</v>
      </c>
      <c r="D38" s="8" t="s">
        <v>26</v>
      </c>
      <c r="E38" s="7" t="n">
        <f aca="false">IF(D38="Implemented",1,IF(D38="Partially implemented",0.5,IF(D38="Not implemented",0,"")))</f>
        <v>0.5</v>
      </c>
      <c r="F38" s="6" t="s">
        <v>185</v>
      </c>
      <c r="G38" s="6" t="s">
        <v>186</v>
      </c>
      <c r="H38" s="8" t="s">
        <v>40</v>
      </c>
      <c r="I38" s="6" t="s">
        <v>30</v>
      </c>
      <c r="J38" s="8" t="s">
        <v>187</v>
      </c>
    </row>
    <row r="39" customFormat="false" ht="23.85" hidden="false" customHeight="false" outlineLevel="0" collapsed="false">
      <c r="A39" s="5" t="s">
        <v>188</v>
      </c>
      <c r="B39" s="6" t="s">
        <v>189</v>
      </c>
      <c r="C39" s="7" t="s">
        <v>190</v>
      </c>
      <c r="D39" s="8" t="s">
        <v>191</v>
      </c>
      <c r="E39" s="7" t="n">
        <f aca="false">IF(D39="Implemented",1,IF(D39="Partially implemented",0.5,IF(D39="Not implemented",0,"")))</f>
        <v>1</v>
      </c>
      <c r="F39" s="6" t="s">
        <v>192</v>
      </c>
      <c r="G39" s="6" t="s">
        <v>193</v>
      </c>
      <c r="H39" s="8" t="s">
        <v>193</v>
      </c>
      <c r="I39" s="6" t="s">
        <v>70</v>
      </c>
      <c r="J39" s="8"/>
    </row>
    <row r="40" customFormat="false" ht="23.85" hidden="false" customHeight="false" outlineLevel="0" collapsed="false">
      <c r="A40" s="5" t="s">
        <v>194</v>
      </c>
      <c r="B40" s="6" t="s">
        <v>195</v>
      </c>
      <c r="C40" s="7" t="s">
        <v>190</v>
      </c>
      <c r="D40" s="8" t="s">
        <v>26</v>
      </c>
      <c r="E40" s="7" t="n">
        <f aca="false">IF(D40="Implemented",1,IF(D40="Partially implemented",0.5,IF(D40="Not implemented",0,"")))</f>
        <v>0.5</v>
      </c>
      <c r="F40" s="6" t="s">
        <v>196</v>
      </c>
      <c r="G40" s="6" t="s">
        <v>197</v>
      </c>
      <c r="H40" s="8" t="s">
        <v>49</v>
      </c>
      <c r="I40" s="6" t="s">
        <v>70</v>
      </c>
      <c r="J40" s="8"/>
    </row>
    <row r="41" customFormat="false" ht="23.85" hidden="false" customHeight="false" outlineLevel="0" collapsed="false">
      <c r="A41" s="5" t="s">
        <v>198</v>
      </c>
      <c r="B41" s="6" t="s">
        <v>199</v>
      </c>
      <c r="C41" s="7" t="s">
        <v>190</v>
      </c>
      <c r="D41" s="8" t="s">
        <v>33</v>
      </c>
      <c r="E41" s="7" t="n">
        <f aca="false">IF(D41="Implemented",1,IF(D41="Partially implemented",0.5,IF(D41="Not implemented",0,"")))</f>
        <v>0</v>
      </c>
      <c r="F41" s="6" t="s">
        <v>200</v>
      </c>
      <c r="G41" s="6" t="s">
        <v>201</v>
      </c>
      <c r="H41" s="8" t="s">
        <v>29</v>
      </c>
      <c r="I41" s="6" t="s">
        <v>70</v>
      </c>
      <c r="J41" s="8" t="s">
        <v>202</v>
      </c>
    </row>
    <row r="42" customFormat="false" ht="23.85" hidden="false" customHeight="false" outlineLevel="0" collapsed="false">
      <c r="A42" s="5" t="s">
        <v>203</v>
      </c>
      <c r="B42" s="6" t="s">
        <v>204</v>
      </c>
      <c r="C42" s="7" t="s">
        <v>190</v>
      </c>
      <c r="D42" s="8" t="s">
        <v>26</v>
      </c>
      <c r="E42" s="7" t="n">
        <f aca="false">IF(D42="Implemented",1,IF(D42="Partially implemented",0.5,IF(D42="Not implemented",0,"")))</f>
        <v>0.5</v>
      </c>
      <c r="F42" s="6" t="s">
        <v>205</v>
      </c>
      <c r="G42" s="6" t="s">
        <v>206</v>
      </c>
      <c r="H42" s="8" t="s">
        <v>49</v>
      </c>
      <c r="I42" s="6" t="s">
        <v>70</v>
      </c>
      <c r="J42" s="8"/>
    </row>
    <row r="43" customFormat="false" ht="23.85" hidden="false" customHeight="false" outlineLevel="0" collapsed="false">
      <c r="A43" s="5" t="s">
        <v>207</v>
      </c>
      <c r="B43" s="6" t="s">
        <v>208</v>
      </c>
      <c r="C43" s="7" t="s">
        <v>190</v>
      </c>
      <c r="D43" s="8" t="s">
        <v>26</v>
      </c>
      <c r="E43" s="7" t="n">
        <f aca="false">IF(D43="Implemented",1,IF(D43="Partially implemented",0.5,IF(D43="Not implemented",0,"")))</f>
        <v>0.5</v>
      </c>
      <c r="F43" s="6" t="s">
        <v>209</v>
      </c>
      <c r="G43" s="6" t="s">
        <v>210</v>
      </c>
      <c r="H43" s="8" t="s">
        <v>40</v>
      </c>
      <c r="I43" s="6" t="s">
        <v>70</v>
      </c>
      <c r="J43" s="8" t="s">
        <v>187</v>
      </c>
    </row>
    <row r="44" customFormat="false" ht="15" hidden="false" customHeight="false" outlineLevel="0" collapsed="false">
      <c r="A44" s="5" t="s">
        <v>211</v>
      </c>
      <c r="B44" s="6" t="s">
        <v>212</v>
      </c>
      <c r="C44" s="7" t="s">
        <v>190</v>
      </c>
      <c r="D44" s="8" t="s">
        <v>191</v>
      </c>
      <c r="E44" s="7" t="n">
        <f aca="false">IF(D44="Implemented",1,IF(D44="Partially implemented",0.5,IF(D44="Not implemented",0,"")))</f>
        <v>1</v>
      </c>
      <c r="F44" s="6" t="s">
        <v>213</v>
      </c>
      <c r="G44" s="6" t="s">
        <v>193</v>
      </c>
      <c r="H44" s="8" t="s">
        <v>193</v>
      </c>
      <c r="I44" s="6" t="s">
        <v>70</v>
      </c>
      <c r="J44" s="8"/>
    </row>
    <row r="45" customFormat="false" ht="15" hidden="false" customHeight="false" outlineLevel="0" collapsed="false">
      <c r="A45" s="5" t="s">
        <v>214</v>
      </c>
      <c r="B45" s="6" t="s">
        <v>215</v>
      </c>
      <c r="C45" s="7" t="s">
        <v>190</v>
      </c>
      <c r="D45" s="8" t="s">
        <v>33</v>
      </c>
      <c r="E45" s="7" t="n">
        <f aca="false">IF(D45="Implemented",1,IF(D45="Partially implemented",0.5,IF(D45="Not implemented",0,"")))</f>
        <v>0</v>
      </c>
      <c r="F45" s="6" t="s">
        <v>216</v>
      </c>
      <c r="G45" s="6" t="s">
        <v>217</v>
      </c>
      <c r="H45" s="8" t="s">
        <v>40</v>
      </c>
      <c r="I45" s="6" t="s">
        <v>70</v>
      </c>
      <c r="J45" s="8"/>
    </row>
    <row r="46" customFormat="false" ht="15" hidden="false" customHeight="false" outlineLevel="0" collapsed="false">
      <c r="A46" s="5" t="s">
        <v>218</v>
      </c>
      <c r="B46" s="6" t="s">
        <v>219</v>
      </c>
      <c r="C46" s="7" t="s">
        <v>190</v>
      </c>
      <c r="D46" s="8" t="s">
        <v>26</v>
      </c>
      <c r="E46" s="7" t="n">
        <f aca="false">IF(D46="Implemented",1,IF(D46="Partially implemented",0.5,IF(D46="Not implemented",0,"")))</f>
        <v>0.5</v>
      </c>
      <c r="F46" s="6" t="s">
        <v>220</v>
      </c>
      <c r="G46" s="6" t="s">
        <v>221</v>
      </c>
      <c r="H46" s="8" t="s">
        <v>40</v>
      </c>
      <c r="I46" s="6" t="s">
        <v>70</v>
      </c>
      <c r="J46" s="8"/>
    </row>
    <row r="47" customFormat="false" ht="15" hidden="false" customHeight="false" outlineLevel="0" collapsed="false">
      <c r="A47" s="5" t="s">
        <v>222</v>
      </c>
      <c r="B47" s="6" t="s">
        <v>223</v>
      </c>
      <c r="C47" s="7" t="s">
        <v>224</v>
      </c>
      <c r="D47" s="8" t="s">
        <v>191</v>
      </c>
      <c r="E47" s="7" t="n">
        <f aca="false">IF(D47="Implemented",1,IF(D47="Partially implemented",0.5,IF(D47="Not implemented",0,"")))</f>
        <v>1</v>
      </c>
      <c r="F47" s="6" t="s">
        <v>225</v>
      </c>
      <c r="G47" s="6" t="s">
        <v>193</v>
      </c>
      <c r="H47" s="8" t="s">
        <v>193</v>
      </c>
      <c r="I47" s="6" t="s">
        <v>226</v>
      </c>
      <c r="J47" s="8"/>
    </row>
    <row r="48" customFormat="false" ht="15" hidden="false" customHeight="false" outlineLevel="0" collapsed="false">
      <c r="A48" s="5" t="s">
        <v>227</v>
      </c>
      <c r="B48" s="6" t="s">
        <v>228</v>
      </c>
      <c r="C48" s="7" t="s">
        <v>224</v>
      </c>
      <c r="D48" s="8" t="s">
        <v>26</v>
      </c>
      <c r="E48" s="7" t="n">
        <f aca="false">IF(D48="Implemented",1,IF(D48="Partially implemented",0.5,IF(D48="Not implemented",0,"")))</f>
        <v>0.5</v>
      </c>
      <c r="F48" s="6" t="s">
        <v>229</v>
      </c>
      <c r="G48" s="6" t="s">
        <v>230</v>
      </c>
      <c r="H48" s="8" t="s">
        <v>40</v>
      </c>
      <c r="I48" s="6" t="s">
        <v>226</v>
      </c>
      <c r="J48" s="8"/>
    </row>
    <row r="49" customFormat="false" ht="15" hidden="false" customHeight="false" outlineLevel="0" collapsed="false">
      <c r="A49" s="5" t="s">
        <v>231</v>
      </c>
      <c r="B49" s="6" t="s">
        <v>232</v>
      </c>
      <c r="C49" s="7" t="s">
        <v>224</v>
      </c>
      <c r="D49" s="8" t="s">
        <v>26</v>
      </c>
      <c r="E49" s="7" t="n">
        <f aca="false">IF(D49="Implemented",1,IF(D49="Partially implemented",0.5,IF(D49="Not implemented",0,"")))</f>
        <v>0.5</v>
      </c>
      <c r="F49" s="6" t="s">
        <v>233</v>
      </c>
      <c r="G49" s="6" t="s">
        <v>234</v>
      </c>
      <c r="H49" s="8" t="s">
        <v>40</v>
      </c>
      <c r="I49" s="6" t="s">
        <v>226</v>
      </c>
      <c r="J49" s="8"/>
    </row>
    <row r="50" customFormat="false" ht="15" hidden="false" customHeight="false" outlineLevel="0" collapsed="false">
      <c r="A50" s="5" t="s">
        <v>235</v>
      </c>
      <c r="B50" s="6" t="s">
        <v>236</v>
      </c>
      <c r="C50" s="7" t="s">
        <v>224</v>
      </c>
      <c r="D50" s="8" t="s">
        <v>191</v>
      </c>
      <c r="E50" s="7" t="n">
        <f aca="false">IF(D50="Implemented",1,IF(D50="Partially implemented",0.5,IF(D50="Not implemented",0,"")))</f>
        <v>1</v>
      </c>
      <c r="F50" s="6" t="s">
        <v>237</v>
      </c>
      <c r="G50" s="6" t="s">
        <v>193</v>
      </c>
      <c r="H50" s="8" t="s">
        <v>193</v>
      </c>
      <c r="I50" s="6" t="s">
        <v>226</v>
      </c>
      <c r="J50" s="8"/>
    </row>
    <row r="51" customFormat="false" ht="15" hidden="false" customHeight="false" outlineLevel="0" collapsed="false">
      <c r="A51" s="5" t="s">
        <v>238</v>
      </c>
      <c r="B51" s="6" t="s">
        <v>239</v>
      </c>
      <c r="C51" s="7" t="s">
        <v>224</v>
      </c>
      <c r="D51" s="8" t="s">
        <v>26</v>
      </c>
      <c r="E51" s="7" t="n">
        <f aca="false">IF(D51="Implemented",1,IF(D51="Partially implemented",0.5,IF(D51="Not implemented",0,"")))</f>
        <v>0.5</v>
      </c>
      <c r="F51" s="6" t="s">
        <v>240</v>
      </c>
      <c r="G51" s="6" t="s">
        <v>241</v>
      </c>
      <c r="H51" s="8" t="s">
        <v>40</v>
      </c>
      <c r="I51" s="6" t="s">
        <v>226</v>
      </c>
      <c r="J51" s="8" t="s">
        <v>242</v>
      </c>
    </row>
    <row r="52" customFormat="false" ht="15" hidden="false" customHeight="false" outlineLevel="0" collapsed="false">
      <c r="A52" s="5" t="s">
        <v>243</v>
      </c>
      <c r="B52" s="6" t="s">
        <v>244</v>
      </c>
      <c r="C52" s="7" t="s">
        <v>224</v>
      </c>
      <c r="D52" s="8" t="s">
        <v>26</v>
      </c>
      <c r="E52" s="7" t="n">
        <f aca="false">IF(D52="Implemented",1,IF(D52="Partially implemented",0.5,IF(D52="Not implemented",0,"")))</f>
        <v>0.5</v>
      </c>
      <c r="F52" s="6" t="s">
        <v>245</v>
      </c>
      <c r="G52" s="6" t="s">
        <v>246</v>
      </c>
      <c r="H52" s="8" t="s">
        <v>49</v>
      </c>
      <c r="I52" s="6" t="s">
        <v>226</v>
      </c>
      <c r="J52" s="8"/>
    </row>
    <row r="53" customFormat="false" ht="15" hidden="false" customHeight="false" outlineLevel="0" collapsed="false">
      <c r="A53" s="5" t="s">
        <v>247</v>
      </c>
      <c r="B53" s="6" t="s">
        <v>248</v>
      </c>
      <c r="C53" s="7" t="s">
        <v>224</v>
      </c>
      <c r="D53" s="8" t="s">
        <v>33</v>
      </c>
      <c r="E53" s="7" t="n">
        <f aca="false">IF(D53="Implemented",1,IF(D53="Partially implemented",0.5,IF(D53="Not implemented",0,"")))</f>
        <v>0</v>
      </c>
      <c r="F53" s="6" t="s">
        <v>249</v>
      </c>
      <c r="G53" s="6" t="s">
        <v>250</v>
      </c>
      <c r="H53" s="8" t="s">
        <v>40</v>
      </c>
      <c r="I53" s="6" t="s">
        <v>226</v>
      </c>
      <c r="J53" s="8"/>
    </row>
    <row r="54" customFormat="false" ht="15" hidden="false" customHeight="false" outlineLevel="0" collapsed="false">
      <c r="A54" s="5" t="s">
        <v>251</v>
      </c>
      <c r="B54" s="6" t="s">
        <v>252</v>
      </c>
      <c r="C54" s="7" t="s">
        <v>224</v>
      </c>
      <c r="D54" s="8" t="s">
        <v>26</v>
      </c>
      <c r="E54" s="7" t="n">
        <f aca="false">IF(D54="Implemented",1,IF(D54="Partially implemented",0.5,IF(D54="Not implemented",0,"")))</f>
        <v>0.5</v>
      </c>
      <c r="F54" s="6" t="s">
        <v>253</v>
      </c>
      <c r="G54" s="6" t="s">
        <v>254</v>
      </c>
      <c r="H54" s="8" t="s">
        <v>40</v>
      </c>
      <c r="I54" s="6" t="s">
        <v>226</v>
      </c>
      <c r="J54" s="8"/>
    </row>
    <row r="55" customFormat="false" ht="15" hidden="false" customHeight="false" outlineLevel="0" collapsed="false">
      <c r="A55" s="5" t="s">
        <v>255</v>
      </c>
      <c r="B55" s="6" t="s">
        <v>256</v>
      </c>
      <c r="C55" s="7" t="s">
        <v>224</v>
      </c>
      <c r="D55" s="8" t="s">
        <v>26</v>
      </c>
      <c r="E55" s="7" t="n">
        <f aca="false">IF(D55="Implemented",1,IF(D55="Partially implemented",0.5,IF(D55="Not implemented",0,"")))</f>
        <v>0.5</v>
      </c>
      <c r="F55" s="6" t="s">
        <v>257</v>
      </c>
      <c r="G55" s="6" t="s">
        <v>258</v>
      </c>
      <c r="H55" s="8" t="s">
        <v>40</v>
      </c>
      <c r="I55" s="6" t="s">
        <v>259</v>
      </c>
      <c r="J55" s="8"/>
    </row>
    <row r="56" customFormat="false" ht="15" hidden="false" customHeight="false" outlineLevel="0" collapsed="false">
      <c r="A56" s="5" t="s">
        <v>260</v>
      </c>
      <c r="B56" s="6" t="s">
        <v>261</v>
      </c>
      <c r="C56" s="7" t="s">
        <v>224</v>
      </c>
      <c r="D56" s="8" t="s">
        <v>33</v>
      </c>
      <c r="E56" s="7" t="n">
        <f aca="false">IF(D56="Implemented",1,IF(D56="Partially implemented",0.5,IF(D56="Not implemented",0,"")))</f>
        <v>0</v>
      </c>
      <c r="F56" s="6" t="s">
        <v>262</v>
      </c>
      <c r="G56" s="6" t="s">
        <v>263</v>
      </c>
      <c r="H56" s="8" t="s">
        <v>49</v>
      </c>
      <c r="I56" s="6" t="s">
        <v>226</v>
      </c>
      <c r="J56" s="8"/>
    </row>
    <row r="57" customFormat="false" ht="15" hidden="false" customHeight="false" outlineLevel="0" collapsed="false">
      <c r="A57" s="5" t="s">
        <v>264</v>
      </c>
      <c r="B57" s="6" t="s">
        <v>265</v>
      </c>
      <c r="C57" s="7" t="s">
        <v>224</v>
      </c>
      <c r="D57" s="8" t="s">
        <v>26</v>
      </c>
      <c r="E57" s="7" t="n">
        <f aca="false">IF(D57="Implemented",1,IF(D57="Partially implemented",0.5,IF(D57="Not implemented",0,"")))</f>
        <v>0.5</v>
      </c>
      <c r="F57" s="6" t="s">
        <v>266</v>
      </c>
      <c r="G57" s="6" t="s">
        <v>267</v>
      </c>
      <c r="H57" s="8" t="s">
        <v>40</v>
      </c>
      <c r="I57" s="6" t="s">
        <v>226</v>
      </c>
      <c r="J57" s="8" t="s">
        <v>242</v>
      </c>
    </row>
    <row r="58" customFormat="false" ht="15" hidden="false" customHeight="false" outlineLevel="0" collapsed="false">
      <c r="A58" s="5" t="s">
        <v>268</v>
      </c>
      <c r="B58" s="6" t="s">
        <v>269</v>
      </c>
      <c r="C58" s="7" t="s">
        <v>224</v>
      </c>
      <c r="D58" s="8" t="s">
        <v>26</v>
      </c>
      <c r="E58" s="7" t="n">
        <f aca="false">IF(D58="Implemented",1,IF(D58="Partially implemented",0.5,IF(D58="Not implemented",0,"")))</f>
        <v>0.5</v>
      </c>
      <c r="F58" s="6" t="s">
        <v>270</v>
      </c>
      <c r="G58" s="6" t="s">
        <v>271</v>
      </c>
      <c r="H58" s="8" t="s">
        <v>49</v>
      </c>
      <c r="I58" s="6" t="s">
        <v>226</v>
      </c>
      <c r="J58" s="8"/>
    </row>
    <row r="59" customFormat="false" ht="23.85" hidden="false" customHeight="false" outlineLevel="0" collapsed="false">
      <c r="A59" s="5" t="s">
        <v>272</v>
      </c>
      <c r="B59" s="6" t="s">
        <v>273</v>
      </c>
      <c r="C59" s="7" t="s">
        <v>224</v>
      </c>
      <c r="D59" s="8" t="s">
        <v>191</v>
      </c>
      <c r="E59" s="7" t="n">
        <f aca="false">IF(D59="Implemented",1,IF(D59="Partially implemented",0.5,IF(D59="Not implemented",0,"")))</f>
        <v>1</v>
      </c>
      <c r="F59" s="6" t="s">
        <v>274</v>
      </c>
      <c r="G59" s="6" t="s">
        <v>193</v>
      </c>
      <c r="H59" s="8" t="s">
        <v>193</v>
      </c>
      <c r="I59" s="6" t="s">
        <v>226</v>
      </c>
      <c r="J59" s="8"/>
    </row>
    <row r="60" customFormat="false" ht="15" hidden="false" customHeight="false" outlineLevel="0" collapsed="false">
      <c r="A60" s="5" t="s">
        <v>275</v>
      </c>
      <c r="B60" s="6" t="s">
        <v>276</v>
      </c>
      <c r="C60" s="7" t="s">
        <v>224</v>
      </c>
      <c r="D60" s="8" t="s">
        <v>26</v>
      </c>
      <c r="E60" s="7" t="n">
        <f aca="false">IF(D60="Implemented",1,IF(D60="Partially implemented",0.5,IF(D60="Not implemented",0,"")))</f>
        <v>0.5</v>
      </c>
      <c r="F60" s="6" t="s">
        <v>277</v>
      </c>
      <c r="G60" s="6" t="s">
        <v>278</v>
      </c>
      <c r="H60" s="8" t="s">
        <v>40</v>
      </c>
      <c r="I60" s="6" t="s">
        <v>259</v>
      </c>
      <c r="J60" s="8"/>
    </row>
    <row r="61" customFormat="false" ht="15" hidden="false" customHeight="false" outlineLevel="0" collapsed="false">
      <c r="A61" s="5" t="s">
        <v>279</v>
      </c>
      <c r="B61" s="6" t="s">
        <v>280</v>
      </c>
      <c r="C61" s="7" t="s">
        <v>281</v>
      </c>
      <c r="D61" s="8" t="s">
        <v>33</v>
      </c>
      <c r="E61" s="7" t="n">
        <f aca="false">IF(D61="Implemented",1,IF(D61="Partially implemented",0.5,IF(D61="Not implemented",0,"")))</f>
        <v>0</v>
      </c>
      <c r="F61" s="6" t="s">
        <v>282</v>
      </c>
      <c r="G61" s="6" t="s">
        <v>283</v>
      </c>
      <c r="H61" s="8" t="s">
        <v>29</v>
      </c>
      <c r="I61" s="6" t="s">
        <v>259</v>
      </c>
      <c r="J61" s="8" t="s">
        <v>284</v>
      </c>
    </row>
    <row r="62" customFormat="false" ht="15" hidden="false" customHeight="false" outlineLevel="0" collapsed="false">
      <c r="A62" s="5" t="s">
        <v>285</v>
      </c>
      <c r="B62" s="6" t="s">
        <v>286</v>
      </c>
      <c r="C62" s="7" t="s">
        <v>281</v>
      </c>
      <c r="D62" s="8" t="s">
        <v>33</v>
      </c>
      <c r="E62" s="7" t="n">
        <f aca="false">IF(D62="Implemented",1,IF(D62="Partially implemented",0.5,IF(D62="Not implemented",0,"")))</f>
        <v>0</v>
      </c>
      <c r="F62" s="6" t="s">
        <v>287</v>
      </c>
      <c r="G62" s="6" t="s">
        <v>288</v>
      </c>
      <c r="H62" s="8" t="s">
        <v>29</v>
      </c>
      <c r="I62" s="6" t="s">
        <v>30</v>
      </c>
      <c r="J62" s="8" t="s">
        <v>289</v>
      </c>
    </row>
    <row r="63" customFormat="false" ht="15" hidden="false" customHeight="false" outlineLevel="0" collapsed="false">
      <c r="A63" s="5" t="s">
        <v>290</v>
      </c>
      <c r="B63" s="6" t="s">
        <v>291</v>
      </c>
      <c r="C63" s="7" t="s">
        <v>281</v>
      </c>
      <c r="D63" s="8" t="s">
        <v>26</v>
      </c>
      <c r="E63" s="7" t="n">
        <f aca="false">IF(D63="Implemented",1,IF(D63="Partially implemented",0.5,IF(D63="Not implemented",0,"")))</f>
        <v>0.5</v>
      </c>
      <c r="F63" s="6" t="s">
        <v>292</v>
      </c>
      <c r="G63" s="6" t="s">
        <v>293</v>
      </c>
      <c r="H63" s="8" t="s">
        <v>40</v>
      </c>
      <c r="I63" s="6" t="s">
        <v>30</v>
      </c>
      <c r="J63" s="8" t="s">
        <v>93</v>
      </c>
    </row>
    <row r="64" customFormat="false" ht="23.85" hidden="false" customHeight="false" outlineLevel="0" collapsed="false">
      <c r="A64" s="5" t="s">
        <v>294</v>
      </c>
      <c r="B64" s="6" t="s">
        <v>295</v>
      </c>
      <c r="C64" s="7" t="s">
        <v>281</v>
      </c>
      <c r="D64" s="8" t="s">
        <v>296</v>
      </c>
      <c r="E64" s="7" t="str">
        <f aca="false">IF(D64="Implemented",1,IF(D64="Partially implemented",0.5,IF(D64="Not implemented",0,"")))</f>
        <v/>
      </c>
      <c r="F64" s="6" t="s">
        <v>297</v>
      </c>
      <c r="G64" s="6" t="s">
        <v>193</v>
      </c>
      <c r="H64" s="8" t="s">
        <v>193</v>
      </c>
      <c r="I64" s="6" t="s">
        <v>30</v>
      </c>
      <c r="J64" s="8"/>
    </row>
    <row r="65" customFormat="false" ht="23.85" hidden="false" customHeight="false" outlineLevel="0" collapsed="false">
      <c r="A65" s="5" t="s">
        <v>298</v>
      </c>
      <c r="B65" s="6" t="s">
        <v>299</v>
      </c>
      <c r="C65" s="7" t="s">
        <v>281</v>
      </c>
      <c r="D65" s="8" t="s">
        <v>26</v>
      </c>
      <c r="E65" s="7" t="n">
        <f aca="false">IF(D65="Implemented",1,IF(D65="Partially implemented",0.5,IF(D65="Not implemented",0,"")))</f>
        <v>0.5</v>
      </c>
      <c r="F65" s="6" t="s">
        <v>300</v>
      </c>
      <c r="G65" s="6" t="s">
        <v>301</v>
      </c>
      <c r="H65" s="8" t="s">
        <v>29</v>
      </c>
      <c r="I65" s="6" t="s">
        <v>30</v>
      </c>
      <c r="J65" s="8" t="s">
        <v>302</v>
      </c>
    </row>
    <row r="66" customFormat="false" ht="15" hidden="false" customHeight="false" outlineLevel="0" collapsed="false">
      <c r="A66" s="5" t="s">
        <v>303</v>
      </c>
      <c r="B66" s="6" t="s">
        <v>304</v>
      </c>
      <c r="C66" s="7" t="s">
        <v>281</v>
      </c>
      <c r="D66" s="8" t="s">
        <v>26</v>
      </c>
      <c r="E66" s="7" t="n">
        <f aca="false">IF(D66="Implemented",1,IF(D66="Partially implemented",0.5,IF(D66="Not implemented",0,"")))</f>
        <v>0.5</v>
      </c>
      <c r="F66" s="6" t="s">
        <v>305</v>
      </c>
      <c r="G66" s="6" t="s">
        <v>306</v>
      </c>
      <c r="H66" s="8" t="s">
        <v>49</v>
      </c>
      <c r="I66" s="6" t="s">
        <v>30</v>
      </c>
      <c r="J66" s="8"/>
    </row>
    <row r="67" customFormat="false" ht="15" hidden="false" customHeight="false" outlineLevel="0" collapsed="false">
      <c r="A67" s="5" t="s">
        <v>307</v>
      </c>
      <c r="B67" s="6" t="s">
        <v>308</v>
      </c>
      <c r="C67" s="7" t="s">
        <v>281</v>
      </c>
      <c r="D67" s="8" t="s">
        <v>26</v>
      </c>
      <c r="E67" s="7" t="n">
        <f aca="false">IF(D67="Implemented",1,IF(D67="Partially implemented",0.5,IF(D67="Not implemented",0,"")))</f>
        <v>0.5</v>
      </c>
      <c r="F67" s="6" t="s">
        <v>309</v>
      </c>
      <c r="G67" s="6" t="s">
        <v>310</v>
      </c>
      <c r="H67" s="8" t="s">
        <v>29</v>
      </c>
      <c r="I67" s="6" t="s">
        <v>30</v>
      </c>
      <c r="J67" s="8" t="s">
        <v>311</v>
      </c>
    </row>
    <row r="68" customFormat="false" ht="23.85" hidden="false" customHeight="false" outlineLevel="0" collapsed="false">
      <c r="A68" s="5" t="s">
        <v>312</v>
      </c>
      <c r="B68" s="6" t="s">
        <v>313</v>
      </c>
      <c r="C68" s="7" t="s">
        <v>281</v>
      </c>
      <c r="D68" s="8" t="s">
        <v>33</v>
      </c>
      <c r="E68" s="7" t="n">
        <f aca="false">IF(D68="Implemented",1,IF(D68="Partially implemented",0.5,IF(D68="Not implemented",0,"")))</f>
        <v>0</v>
      </c>
      <c r="F68" s="6" t="s">
        <v>314</v>
      </c>
      <c r="G68" s="6" t="s">
        <v>315</v>
      </c>
      <c r="H68" s="8" t="s">
        <v>29</v>
      </c>
      <c r="I68" s="6" t="s">
        <v>30</v>
      </c>
      <c r="J68" s="8" t="s">
        <v>316</v>
      </c>
    </row>
    <row r="69" customFormat="false" ht="15" hidden="false" customHeight="false" outlineLevel="0" collapsed="false">
      <c r="A69" s="5" t="s">
        <v>317</v>
      </c>
      <c r="B69" s="6" t="s">
        <v>318</v>
      </c>
      <c r="C69" s="7" t="s">
        <v>281</v>
      </c>
      <c r="D69" s="8" t="s">
        <v>33</v>
      </c>
      <c r="E69" s="7" t="n">
        <f aca="false">IF(D69="Implemented",1,IF(D69="Partially implemented",0.5,IF(D69="Not implemented",0,"")))</f>
        <v>0</v>
      </c>
      <c r="F69" s="6" t="s">
        <v>319</v>
      </c>
      <c r="G69" s="6" t="s">
        <v>320</v>
      </c>
      <c r="H69" s="8" t="s">
        <v>40</v>
      </c>
      <c r="I69" s="6" t="s">
        <v>30</v>
      </c>
      <c r="J69" s="8"/>
    </row>
    <row r="70" customFormat="false" ht="15" hidden="false" customHeight="false" outlineLevel="0" collapsed="false">
      <c r="A70" s="5" t="s">
        <v>321</v>
      </c>
      <c r="B70" s="6" t="s">
        <v>322</v>
      </c>
      <c r="C70" s="7" t="s">
        <v>281</v>
      </c>
      <c r="D70" s="8" t="s">
        <v>33</v>
      </c>
      <c r="E70" s="7" t="n">
        <f aca="false">IF(D70="Implemented",1,IF(D70="Partially implemented",0.5,IF(D70="Not implemented",0,"")))</f>
        <v>0</v>
      </c>
      <c r="F70" s="6" t="s">
        <v>323</v>
      </c>
      <c r="G70" s="6" t="s">
        <v>324</v>
      </c>
      <c r="H70" s="8" t="s">
        <v>49</v>
      </c>
      <c r="I70" s="6" t="s">
        <v>30</v>
      </c>
      <c r="J70" s="8"/>
    </row>
    <row r="71" customFormat="false" ht="15" hidden="false" customHeight="false" outlineLevel="0" collapsed="false">
      <c r="A71" s="5" t="s">
        <v>325</v>
      </c>
      <c r="B71" s="6" t="s">
        <v>326</v>
      </c>
      <c r="C71" s="7" t="s">
        <v>281</v>
      </c>
      <c r="D71" s="8" t="s">
        <v>33</v>
      </c>
      <c r="E71" s="7" t="n">
        <f aca="false">IF(D71="Implemented",1,IF(D71="Partially implemented",0.5,IF(D71="Not implemented",0,"")))</f>
        <v>0</v>
      </c>
      <c r="F71" s="6" t="s">
        <v>327</v>
      </c>
      <c r="G71" s="6" t="s">
        <v>328</v>
      </c>
      <c r="H71" s="8" t="s">
        <v>49</v>
      </c>
      <c r="I71" s="6" t="s">
        <v>30</v>
      </c>
      <c r="J71" s="8"/>
    </row>
    <row r="72" customFormat="false" ht="15" hidden="false" customHeight="false" outlineLevel="0" collapsed="false">
      <c r="A72" s="5" t="s">
        <v>329</v>
      </c>
      <c r="B72" s="6" t="s">
        <v>330</v>
      </c>
      <c r="C72" s="7" t="s">
        <v>281</v>
      </c>
      <c r="D72" s="8" t="s">
        <v>33</v>
      </c>
      <c r="E72" s="7" t="n">
        <f aca="false">IF(D72="Implemented",1,IF(D72="Partially implemented",0.5,IF(D72="Not implemented",0,"")))</f>
        <v>0</v>
      </c>
      <c r="F72" s="6" t="s">
        <v>331</v>
      </c>
      <c r="G72" s="6" t="s">
        <v>332</v>
      </c>
      <c r="H72" s="8" t="s">
        <v>40</v>
      </c>
      <c r="I72" s="6" t="s">
        <v>30</v>
      </c>
      <c r="J72" s="8" t="s">
        <v>80</v>
      </c>
    </row>
    <row r="73" customFormat="false" ht="23.85" hidden="false" customHeight="false" outlineLevel="0" collapsed="false">
      <c r="A73" s="5" t="s">
        <v>333</v>
      </c>
      <c r="B73" s="6" t="s">
        <v>334</v>
      </c>
      <c r="C73" s="7" t="s">
        <v>281</v>
      </c>
      <c r="D73" s="8" t="s">
        <v>26</v>
      </c>
      <c r="E73" s="7" t="n">
        <f aca="false">IF(D73="Implemented",1,IF(D73="Partially implemented",0.5,IF(D73="Not implemented",0,"")))</f>
        <v>0.5</v>
      </c>
      <c r="F73" s="6" t="s">
        <v>335</v>
      </c>
      <c r="G73" s="6" t="s">
        <v>336</v>
      </c>
      <c r="H73" s="8" t="s">
        <v>29</v>
      </c>
      <c r="I73" s="6" t="s">
        <v>30</v>
      </c>
      <c r="J73" s="8" t="s">
        <v>337</v>
      </c>
    </row>
    <row r="74" customFormat="false" ht="15" hidden="false" customHeight="false" outlineLevel="0" collapsed="false">
      <c r="A74" s="5" t="s">
        <v>338</v>
      </c>
      <c r="B74" s="6" t="s">
        <v>339</v>
      </c>
      <c r="C74" s="7" t="s">
        <v>281</v>
      </c>
      <c r="D74" s="8" t="s">
        <v>26</v>
      </c>
      <c r="E74" s="7" t="n">
        <f aca="false">IF(D74="Implemented",1,IF(D74="Partially implemented",0.5,IF(D74="Not implemented",0,"")))</f>
        <v>0.5</v>
      </c>
      <c r="F74" s="6" t="s">
        <v>340</v>
      </c>
      <c r="G74" s="6" t="s">
        <v>341</v>
      </c>
      <c r="H74" s="8" t="s">
        <v>40</v>
      </c>
      <c r="I74" s="6" t="s">
        <v>30</v>
      </c>
      <c r="J74" s="8" t="s">
        <v>342</v>
      </c>
    </row>
    <row r="75" customFormat="false" ht="15" hidden="false" customHeight="false" outlineLevel="0" collapsed="false">
      <c r="A75" s="5" t="s">
        <v>343</v>
      </c>
      <c r="B75" s="6" t="s">
        <v>344</v>
      </c>
      <c r="C75" s="7" t="s">
        <v>281</v>
      </c>
      <c r="D75" s="8" t="s">
        <v>26</v>
      </c>
      <c r="E75" s="7" t="n">
        <f aca="false">IF(D75="Implemented",1,IF(D75="Partially implemented",0.5,IF(D75="Not implemented",0,"")))</f>
        <v>0.5</v>
      </c>
      <c r="F75" s="6" t="s">
        <v>345</v>
      </c>
      <c r="G75" s="6" t="s">
        <v>346</v>
      </c>
      <c r="H75" s="8" t="s">
        <v>29</v>
      </c>
      <c r="I75" s="6" t="s">
        <v>30</v>
      </c>
      <c r="J75" s="8" t="s">
        <v>93</v>
      </c>
    </row>
    <row r="76" customFormat="false" ht="23.85" hidden="false" customHeight="false" outlineLevel="0" collapsed="false">
      <c r="A76" s="5" t="s">
        <v>347</v>
      </c>
      <c r="B76" s="6" t="s">
        <v>348</v>
      </c>
      <c r="C76" s="7" t="s">
        <v>281</v>
      </c>
      <c r="D76" s="8" t="s">
        <v>33</v>
      </c>
      <c r="E76" s="7" t="n">
        <f aca="false">IF(D76="Implemented",1,IF(D76="Partially implemented",0.5,IF(D76="Not implemented",0,"")))</f>
        <v>0</v>
      </c>
      <c r="F76" s="6" t="s">
        <v>349</v>
      </c>
      <c r="G76" s="6" t="s">
        <v>350</v>
      </c>
      <c r="H76" s="8" t="s">
        <v>29</v>
      </c>
      <c r="I76" s="6" t="s">
        <v>30</v>
      </c>
      <c r="J76" s="8" t="s">
        <v>311</v>
      </c>
    </row>
    <row r="77" customFormat="false" ht="15" hidden="false" customHeight="false" outlineLevel="0" collapsed="false">
      <c r="A77" s="5" t="s">
        <v>351</v>
      </c>
      <c r="B77" s="6" t="s">
        <v>352</v>
      </c>
      <c r="C77" s="7" t="s">
        <v>281</v>
      </c>
      <c r="D77" s="8" t="s">
        <v>191</v>
      </c>
      <c r="E77" s="7" t="n">
        <f aca="false">IF(D77="Implemented",1,IF(D77="Partially implemented",0.5,IF(D77="Not implemented",0,"")))</f>
        <v>1</v>
      </c>
      <c r="F77" s="6" t="s">
        <v>353</v>
      </c>
      <c r="G77" s="6" t="s">
        <v>193</v>
      </c>
      <c r="H77" s="8" t="s">
        <v>193</v>
      </c>
      <c r="I77" s="6" t="s">
        <v>30</v>
      </c>
      <c r="J77" s="8"/>
    </row>
    <row r="78" customFormat="false" ht="15" hidden="false" customHeight="false" outlineLevel="0" collapsed="false">
      <c r="A78" s="5" t="s">
        <v>354</v>
      </c>
      <c r="B78" s="6" t="s">
        <v>355</v>
      </c>
      <c r="C78" s="7" t="s">
        <v>281</v>
      </c>
      <c r="D78" s="8" t="s">
        <v>33</v>
      </c>
      <c r="E78" s="7" t="n">
        <f aca="false">IF(D78="Implemented",1,IF(D78="Partially implemented",0.5,IF(D78="Not implemented",0,"")))</f>
        <v>0</v>
      </c>
      <c r="F78" s="6" t="s">
        <v>356</v>
      </c>
      <c r="G78" s="6" t="s">
        <v>357</v>
      </c>
      <c r="H78" s="8" t="s">
        <v>49</v>
      </c>
      <c r="I78" s="6" t="s">
        <v>30</v>
      </c>
      <c r="J78" s="8"/>
    </row>
    <row r="79" customFormat="false" ht="15" hidden="false" customHeight="false" outlineLevel="0" collapsed="false">
      <c r="A79" s="5" t="s">
        <v>358</v>
      </c>
      <c r="B79" s="6" t="s">
        <v>359</v>
      </c>
      <c r="C79" s="7" t="s">
        <v>281</v>
      </c>
      <c r="D79" s="8" t="s">
        <v>26</v>
      </c>
      <c r="E79" s="7" t="n">
        <f aca="false">IF(D79="Implemented",1,IF(D79="Partially implemented",0.5,IF(D79="Not implemented",0,"")))</f>
        <v>0.5</v>
      </c>
      <c r="F79" s="6" t="s">
        <v>360</v>
      </c>
      <c r="G79" s="6" t="s">
        <v>361</v>
      </c>
      <c r="H79" s="8" t="s">
        <v>40</v>
      </c>
      <c r="I79" s="6" t="s">
        <v>259</v>
      </c>
      <c r="J79" s="8" t="s">
        <v>362</v>
      </c>
    </row>
    <row r="80" customFormat="false" ht="15" hidden="false" customHeight="false" outlineLevel="0" collapsed="false">
      <c r="A80" s="5" t="s">
        <v>363</v>
      </c>
      <c r="B80" s="6" t="s">
        <v>364</v>
      </c>
      <c r="C80" s="7" t="s">
        <v>281</v>
      </c>
      <c r="D80" s="8" t="s">
        <v>26</v>
      </c>
      <c r="E80" s="7" t="n">
        <f aca="false">IF(D80="Implemented",1,IF(D80="Partially implemented",0.5,IF(D80="Not implemented",0,"")))</f>
        <v>0.5</v>
      </c>
      <c r="F80" s="6" t="s">
        <v>365</v>
      </c>
      <c r="G80" s="6" t="s">
        <v>366</v>
      </c>
      <c r="H80" s="8" t="s">
        <v>29</v>
      </c>
      <c r="I80" s="6" t="s">
        <v>367</v>
      </c>
      <c r="J80" s="8" t="s">
        <v>368</v>
      </c>
    </row>
    <row r="81" customFormat="false" ht="15" hidden="false" customHeight="false" outlineLevel="0" collapsed="false">
      <c r="A81" s="5" t="s">
        <v>369</v>
      </c>
      <c r="B81" s="6" t="s">
        <v>370</v>
      </c>
      <c r="C81" s="7" t="s">
        <v>281</v>
      </c>
      <c r="D81" s="8" t="s">
        <v>26</v>
      </c>
      <c r="E81" s="7" t="n">
        <f aca="false">IF(D81="Implemented",1,IF(D81="Partially implemented",0.5,IF(D81="Not implemented",0,"")))</f>
        <v>0.5</v>
      </c>
      <c r="F81" s="6" t="s">
        <v>371</v>
      </c>
      <c r="G81" s="6" t="s">
        <v>372</v>
      </c>
      <c r="H81" s="8" t="s">
        <v>40</v>
      </c>
      <c r="I81" s="6" t="s">
        <v>367</v>
      </c>
      <c r="J81" s="8"/>
    </row>
    <row r="82" customFormat="false" ht="15" hidden="false" customHeight="false" outlineLevel="0" collapsed="false">
      <c r="A82" s="5" t="s">
        <v>373</v>
      </c>
      <c r="B82" s="6" t="s">
        <v>374</v>
      </c>
      <c r="C82" s="7" t="s">
        <v>281</v>
      </c>
      <c r="D82" s="8" t="s">
        <v>33</v>
      </c>
      <c r="E82" s="7" t="n">
        <f aca="false">IF(D82="Implemented",1,IF(D82="Partially implemented",0.5,IF(D82="Not implemented",0,"")))</f>
        <v>0</v>
      </c>
      <c r="F82" s="6" t="s">
        <v>375</v>
      </c>
      <c r="G82" s="6" t="s">
        <v>376</v>
      </c>
      <c r="H82" s="8" t="s">
        <v>29</v>
      </c>
      <c r="I82" s="6" t="s">
        <v>367</v>
      </c>
      <c r="J82" s="8" t="s">
        <v>377</v>
      </c>
    </row>
    <row r="83" customFormat="false" ht="15" hidden="false" customHeight="false" outlineLevel="0" collapsed="false">
      <c r="A83" s="5" t="s">
        <v>378</v>
      </c>
      <c r="B83" s="6" t="s">
        <v>379</v>
      </c>
      <c r="C83" s="7" t="s">
        <v>281</v>
      </c>
      <c r="D83" s="8" t="s">
        <v>33</v>
      </c>
      <c r="E83" s="7" t="n">
        <f aca="false">IF(D83="Implemented",1,IF(D83="Partially implemented",0.5,IF(D83="Not implemented",0,"")))</f>
        <v>0</v>
      </c>
      <c r="F83" s="6" t="s">
        <v>380</v>
      </c>
      <c r="G83" s="6" t="s">
        <v>381</v>
      </c>
      <c r="H83" s="8" t="s">
        <v>40</v>
      </c>
      <c r="I83" s="6" t="s">
        <v>367</v>
      </c>
      <c r="J83" s="8"/>
    </row>
    <row r="84" customFormat="false" ht="15" hidden="false" customHeight="false" outlineLevel="0" collapsed="false">
      <c r="A84" s="5" t="s">
        <v>382</v>
      </c>
      <c r="B84" s="6" t="s">
        <v>383</v>
      </c>
      <c r="C84" s="7" t="s">
        <v>281</v>
      </c>
      <c r="D84" s="8" t="s">
        <v>26</v>
      </c>
      <c r="E84" s="7" t="n">
        <f aca="false">IF(D84="Implemented",1,IF(D84="Partially implemented",0.5,IF(D84="Not implemented",0,"")))</f>
        <v>0.5</v>
      </c>
      <c r="F84" s="6" t="s">
        <v>384</v>
      </c>
      <c r="G84" s="6" t="s">
        <v>385</v>
      </c>
      <c r="H84" s="8" t="s">
        <v>29</v>
      </c>
      <c r="I84" s="6" t="s">
        <v>30</v>
      </c>
      <c r="J84" s="8" t="s">
        <v>386</v>
      </c>
    </row>
    <row r="85" customFormat="false" ht="23.85" hidden="false" customHeight="false" outlineLevel="0" collapsed="false">
      <c r="A85" s="5" t="s">
        <v>387</v>
      </c>
      <c r="B85" s="6" t="s">
        <v>388</v>
      </c>
      <c r="C85" s="7" t="s">
        <v>281</v>
      </c>
      <c r="D85" s="8" t="s">
        <v>296</v>
      </c>
      <c r="E85" s="7" t="str">
        <f aca="false">IF(D85="Implemented",1,IF(D85="Partially implemented",0.5,IF(D85="Not implemented",0,"")))</f>
        <v/>
      </c>
      <c r="F85" s="6" t="s">
        <v>389</v>
      </c>
      <c r="G85" s="6" t="s">
        <v>193</v>
      </c>
      <c r="H85" s="8" t="s">
        <v>193</v>
      </c>
      <c r="I85" s="6" t="s">
        <v>30</v>
      </c>
      <c r="J85" s="8"/>
    </row>
    <row r="86" customFormat="false" ht="15" hidden="false" customHeight="false" outlineLevel="0" collapsed="false">
      <c r="A86" s="5" t="s">
        <v>390</v>
      </c>
      <c r="B86" s="6" t="s">
        <v>391</v>
      </c>
      <c r="C86" s="7" t="s">
        <v>281</v>
      </c>
      <c r="D86" s="8" t="s">
        <v>33</v>
      </c>
      <c r="E86" s="7" t="n">
        <f aca="false">IF(D86="Implemented",1,IF(D86="Partially implemented",0.5,IF(D86="Not implemented",0,"")))</f>
        <v>0</v>
      </c>
      <c r="F86" s="6" t="s">
        <v>392</v>
      </c>
      <c r="G86" s="6" t="s">
        <v>393</v>
      </c>
      <c r="H86" s="8" t="s">
        <v>40</v>
      </c>
      <c r="I86" s="6" t="s">
        <v>394</v>
      </c>
      <c r="J86" s="8"/>
    </row>
    <row r="87" customFormat="false" ht="15" hidden="false" customHeight="false" outlineLevel="0" collapsed="false">
      <c r="A87" s="5" t="s">
        <v>395</v>
      </c>
      <c r="B87" s="6" t="s">
        <v>396</v>
      </c>
      <c r="C87" s="7" t="s">
        <v>281</v>
      </c>
      <c r="D87" s="8" t="s">
        <v>33</v>
      </c>
      <c r="E87" s="7" t="n">
        <f aca="false">IF(D87="Implemented",1,IF(D87="Partially implemented",0.5,IF(D87="Not implemented",0,"")))</f>
        <v>0</v>
      </c>
      <c r="F87" s="6" t="s">
        <v>397</v>
      </c>
      <c r="G87" s="6" t="s">
        <v>398</v>
      </c>
      <c r="H87" s="8" t="s">
        <v>49</v>
      </c>
      <c r="I87" s="6" t="s">
        <v>30</v>
      </c>
      <c r="J87" s="8"/>
    </row>
    <row r="88" customFormat="false" ht="15" hidden="false" customHeight="false" outlineLevel="0" collapsed="false">
      <c r="A88" s="5" t="s">
        <v>399</v>
      </c>
      <c r="B88" s="6" t="s">
        <v>400</v>
      </c>
      <c r="C88" s="7" t="s">
        <v>281</v>
      </c>
      <c r="D88" s="8" t="s">
        <v>33</v>
      </c>
      <c r="E88" s="7" t="n">
        <f aca="false">IF(D88="Implemented",1,IF(D88="Partially implemented",0.5,IF(D88="Not implemented",0,"")))</f>
        <v>0</v>
      </c>
      <c r="F88" s="6" t="s">
        <v>401</v>
      </c>
      <c r="G88" s="6" t="s">
        <v>402</v>
      </c>
      <c r="H88" s="8" t="s">
        <v>40</v>
      </c>
      <c r="I88" s="6" t="s">
        <v>394</v>
      </c>
      <c r="J88" s="8" t="s">
        <v>403</v>
      </c>
    </row>
    <row r="89" customFormat="false" ht="15" hidden="false" customHeight="false" outlineLevel="0" collapsed="false">
      <c r="A89" s="5" t="s">
        <v>404</v>
      </c>
      <c r="B89" s="6" t="s">
        <v>405</v>
      </c>
      <c r="C89" s="7" t="s">
        <v>281</v>
      </c>
      <c r="D89" s="8" t="s">
        <v>33</v>
      </c>
      <c r="E89" s="7" t="n">
        <f aca="false">IF(D89="Implemented",1,IF(D89="Partially implemented",0.5,IF(D89="Not implemented",0,"")))</f>
        <v>0</v>
      </c>
      <c r="F89" s="6" t="s">
        <v>406</v>
      </c>
      <c r="G89" s="6" t="s">
        <v>407</v>
      </c>
      <c r="H89" s="8" t="s">
        <v>40</v>
      </c>
      <c r="I89" s="6" t="s">
        <v>394</v>
      </c>
      <c r="J89" s="8"/>
    </row>
    <row r="90" customFormat="false" ht="15" hidden="false" customHeight="false" outlineLevel="0" collapsed="false">
      <c r="A90" s="5" t="s">
        <v>408</v>
      </c>
      <c r="B90" s="6" t="s">
        <v>409</v>
      </c>
      <c r="C90" s="7" t="s">
        <v>281</v>
      </c>
      <c r="D90" s="8" t="s">
        <v>26</v>
      </c>
      <c r="E90" s="7" t="n">
        <f aca="false">IF(D90="Implemented",1,IF(D90="Partially implemented",0.5,IF(D90="Not implemented",0,"")))</f>
        <v>0.5</v>
      </c>
      <c r="F90" s="6" t="s">
        <v>410</v>
      </c>
      <c r="G90" s="6" t="s">
        <v>411</v>
      </c>
      <c r="H90" s="8" t="s">
        <v>40</v>
      </c>
      <c r="I90" s="6" t="s">
        <v>394</v>
      </c>
      <c r="J90" s="8"/>
    </row>
    <row r="91" customFormat="false" ht="23.85" hidden="false" customHeight="false" outlineLevel="0" collapsed="false">
      <c r="A91" s="5" t="s">
        <v>412</v>
      </c>
      <c r="B91" s="6" t="s">
        <v>413</v>
      </c>
      <c r="C91" s="7" t="s">
        <v>281</v>
      </c>
      <c r="D91" s="8" t="s">
        <v>26</v>
      </c>
      <c r="E91" s="7" t="n">
        <f aca="false">IF(D91="Implemented",1,IF(D91="Partially implemented",0.5,IF(D91="Not implemented",0,"")))</f>
        <v>0.5</v>
      </c>
      <c r="F91" s="6" t="s">
        <v>414</v>
      </c>
      <c r="G91" s="6" t="s">
        <v>415</v>
      </c>
      <c r="H91" s="8" t="s">
        <v>49</v>
      </c>
      <c r="I91" s="6" t="s">
        <v>394</v>
      </c>
      <c r="J91" s="8"/>
    </row>
    <row r="92" customFormat="false" ht="15" hidden="false" customHeight="false" outlineLevel="0" collapsed="false">
      <c r="A92" s="5" t="s">
        <v>416</v>
      </c>
      <c r="B92" s="6" t="s">
        <v>417</v>
      </c>
      <c r="C92" s="7" t="s">
        <v>281</v>
      </c>
      <c r="D92" s="8" t="s">
        <v>26</v>
      </c>
      <c r="E92" s="7" t="n">
        <f aca="false">IF(D92="Implemented",1,IF(D92="Partially implemented",0.5,IF(D92="Not implemented",0,"")))</f>
        <v>0.5</v>
      </c>
      <c r="F92" s="6" t="s">
        <v>418</v>
      </c>
      <c r="G92" s="6" t="s">
        <v>419</v>
      </c>
      <c r="H92" s="8" t="s">
        <v>40</v>
      </c>
      <c r="I92" s="6" t="s">
        <v>30</v>
      </c>
      <c r="J92" s="8"/>
    </row>
    <row r="93" customFormat="false" ht="15" hidden="false" customHeight="false" outlineLevel="0" collapsed="false">
      <c r="A93" s="5" t="s">
        <v>420</v>
      </c>
      <c r="B93" s="6" t="s">
        <v>421</v>
      </c>
      <c r="C93" s="7" t="s">
        <v>281</v>
      </c>
      <c r="D93" s="8" t="s">
        <v>33</v>
      </c>
      <c r="E93" s="7" t="n">
        <f aca="false">IF(D93="Implemented",1,IF(D93="Partially implemented",0.5,IF(D93="Not implemented",0,"")))</f>
        <v>0</v>
      </c>
      <c r="F93" s="6" t="s">
        <v>422</v>
      </c>
      <c r="G93" s="6" t="s">
        <v>423</v>
      </c>
      <c r="H93" s="8" t="s">
        <v>49</v>
      </c>
      <c r="I93" s="6" t="s">
        <v>30</v>
      </c>
      <c r="J93" s="8"/>
    </row>
    <row r="94" customFormat="false" ht="15" hidden="false" customHeight="false" outlineLevel="0" collapsed="false">
      <c r="A94" s="5" t="s">
        <v>424</v>
      </c>
      <c r="B94" s="6" t="s">
        <v>425</v>
      </c>
      <c r="C94" s="7" t="s">
        <v>281</v>
      </c>
      <c r="D94" s="8" t="s">
        <v>33</v>
      </c>
      <c r="E94" s="7" t="n">
        <f aca="false">IF(D94="Implemented",1,IF(D94="Partially implemented",0.5,IF(D94="Not implemented",0,"")))</f>
        <v>0</v>
      </c>
      <c r="F94" s="6" t="s">
        <v>426</v>
      </c>
      <c r="G94" s="6" t="s">
        <v>427</v>
      </c>
      <c r="H94" s="8" t="s">
        <v>49</v>
      </c>
      <c r="I94" s="6" t="s">
        <v>30</v>
      </c>
      <c r="J94" s="8"/>
    </row>
  </sheetData>
  <autoFilter ref="A1:J94"/>
  <conditionalFormatting sqref="D2:D94">
    <cfRule type="cellIs" priority="2" operator="equal" aboveAverage="0" equalAverage="0" bottom="0" percent="0" rank="0" text="" dxfId="8">
      <formula>"Implemented"</formula>
    </cfRule>
    <cfRule type="cellIs" priority="3" operator="equal" aboveAverage="0" equalAverage="0" bottom="0" percent="0" rank="0" text="" dxfId="9">
      <formula>"Partially implemented"</formula>
    </cfRule>
    <cfRule type="cellIs" priority="4" operator="equal" aboveAverage="0" equalAverage="0" bottom="0" percent="0" rank="0" text="" dxfId="10">
      <formula>"Not implemented"</formula>
    </cfRule>
    <cfRule type="cellIs" priority="5" operator="equal" aboveAverage="0" equalAverage="0" bottom="0" percent="0" rank="0" text="" dxfId="11">
      <formula>"Not applicable"</formula>
    </cfRule>
  </conditionalFormatting>
  <conditionalFormatting sqref="H2:H94">
    <cfRule type="cellIs" priority="6" operator="equal" aboveAverage="0" equalAverage="0" bottom="0" percent="0" rank="0" text="" dxfId="10">
      <formula>"High"</formula>
    </cfRule>
    <cfRule type="cellIs" priority="7" operator="equal" aboveAverage="0" equalAverage="0" bottom="0" percent="0" rank="0" text="" dxfId="9">
      <formula>"Medium"</formula>
    </cfRule>
    <cfRule type="cellIs" priority="8" operator="equal" aboveAverage="0" equalAverage="0" bottom="0" percent="0" rank="0" text="" dxfId="8">
      <formula>"Low"</formula>
    </cfRule>
  </conditionalFormatting>
  <dataValidations count="2">
    <dataValidation allowBlank="false" errorStyle="stop" operator="between" showDropDown="false" showErrorMessage="false" showInputMessage="false" sqref="D2:D94" type="list">
      <formula1>"Implemented,Partially implemented,Not implemented,Not applicable"</formula1>
      <formula2>0</formula2>
    </dataValidation>
    <dataValidation allowBlank="true" errorStyle="stop" operator="between" showDropDown="false" showErrorMessage="false" showInputMessage="false" sqref="H2:H94" type="list">
      <formula1>"High,Medium,Low,-"</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8" min="2" style="0" width="16"/>
  </cols>
  <sheetData>
    <row r="1" customFormat="false" ht="31.5" hidden="false" customHeight="true" outlineLevel="0" collapsed="false">
      <c r="A1" s="4" t="s">
        <v>15</v>
      </c>
      <c r="B1" s="4" t="s">
        <v>428</v>
      </c>
      <c r="C1" s="4" t="s">
        <v>429</v>
      </c>
      <c r="D1" s="4" t="s">
        <v>191</v>
      </c>
      <c r="E1" s="4" t="s">
        <v>430</v>
      </c>
      <c r="F1" s="4" t="s">
        <v>431</v>
      </c>
      <c r="G1" s="4" t="s">
        <v>432</v>
      </c>
      <c r="H1" s="4" t="s">
        <v>5</v>
      </c>
    </row>
    <row r="2" customFormat="false" ht="15" hidden="false" customHeight="false" outlineLevel="0" collapsed="false">
      <c r="A2" s="9" t="s">
        <v>25</v>
      </c>
      <c r="B2" s="10" t="n">
        <f aca="false">COUNTIF('Gap Assessment'!$C$2:$C$94,A2)</f>
        <v>37</v>
      </c>
      <c r="C2" s="10" t="n">
        <f aca="false">B2-G2</f>
        <v>37</v>
      </c>
      <c r="D2" s="10" t="n">
        <f aca="false">COUNTIFS('Gap Assessment'!$C$2:$C$94,A2,'Gap Assessment'!$D$2:$D$94,"Implemented")</f>
        <v>0</v>
      </c>
      <c r="E2" s="10" t="n">
        <f aca="false">COUNTIFS('Gap Assessment'!$C$2:$C$94,A2,'Gap Assessment'!$D$2:$D$94,"Partially implemented")</f>
        <v>17</v>
      </c>
      <c r="F2" s="10" t="n">
        <f aca="false">COUNTIFS('Gap Assessment'!$C$2:$C$94,A2,'Gap Assessment'!$D$2:$D$94,"Not implemented")</f>
        <v>20</v>
      </c>
      <c r="G2" s="10" t="n">
        <f aca="false">COUNTIFS('Gap Assessment'!$C$2:$C$94,A2,'Gap Assessment'!$D$2:$D$94,"Not applicable")</f>
        <v>0</v>
      </c>
      <c r="H2" s="11" t="n">
        <f aca="false">IFERROR(SUMIFS('Gap Assessment'!$E$2:$E$94,'Gap Assessment'!$C$2:$C$94,A2)/C2,0)</f>
        <v>0.22972972972973</v>
      </c>
    </row>
    <row r="3" customFormat="false" ht="15" hidden="false" customHeight="false" outlineLevel="0" collapsed="false">
      <c r="A3" s="9" t="s">
        <v>190</v>
      </c>
      <c r="B3" s="10" t="n">
        <f aca="false">COUNTIF('Gap Assessment'!$C$2:$C$94,A3)</f>
        <v>8</v>
      </c>
      <c r="C3" s="10" t="n">
        <f aca="false">B3-G3</f>
        <v>8</v>
      </c>
      <c r="D3" s="10" t="n">
        <f aca="false">COUNTIFS('Gap Assessment'!$C$2:$C$94,A3,'Gap Assessment'!$D$2:$D$94,"Implemented")</f>
        <v>2</v>
      </c>
      <c r="E3" s="10" t="n">
        <f aca="false">COUNTIFS('Gap Assessment'!$C$2:$C$94,A3,'Gap Assessment'!$D$2:$D$94,"Partially implemented")</f>
        <v>4</v>
      </c>
      <c r="F3" s="10" t="n">
        <f aca="false">COUNTIFS('Gap Assessment'!$C$2:$C$94,A3,'Gap Assessment'!$D$2:$D$94,"Not implemented")</f>
        <v>2</v>
      </c>
      <c r="G3" s="10" t="n">
        <f aca="false">COUNTIFS('Gap Assessment'!$C$2:$C$94,A3,'Gap Assessment'!$D$2:$D$94,"Not applicable")</f>
        <v>0</v>
      </c>
      <c r="H3" s="11" t="n">
        <f aca="false">IFERROR(SUMIFS('Gap Assessment'!$E$2:$E$94,'Gap Assessment'!$C$2:$C$94,A3)/C3,0)</f>
        <v>0.5</v>
      </c>
    </row>
    <row r="4" customFormat="false" ht="15" hidden="false" customHeight="false" outlineLevel="0" collapsed="false">
      <c r="A4" s="9" t="s">
        <v>224</v>
      </c>
      <c r="B4" s="10" t="n">
        <f aca="false">COUNTIF('Gap Assessment'!$C$2:$C$94,A4)</f>
        <v>14</v>
      </c>
      <c r="C4" s="10" t="n">
        <f aca="false">B4-G4</f>
        <v>14</v>
      </c>
      <c r="D4" s="10" t="n">
        <f aca="false">COUNTIFS('Gap Assessment'!$C$2:$C$94,A4,'Gap Assessment'!$D$2:$D$94,"Implemented")</f>
        <v>3</v>
      </c>
      <c r="E4" s="10" t="n">
        <f aca="false">COUNTIFS('Gap Assessment'!$C$2:$C$94,A4,'Gap Assessment'!$D$2:$D$94,"Partially implemented")</f>
        <v>9</v>
      </c>
      <c r="F4" s="10" t="n">
        <f aca="false">COUNTIFS('Gap Assessment'!$C$2:$C$94,A4,'Gap Assessment'!$D$2:$D$94,"Not implemented")</f>
        <v>2</v>
      </c>
      <c r="G4" s="10" t="n">
        <f aca="false">COUNTIFS('Gap Assessment'!$C$2:$C$94,A4,'Gap Assessment'!$D$2:$D$94,"Not applicable")</f>
        <v>0</v>
      </c>
      <c r="H4" s="11" t="n">
        <f aca="false">IFERROR(SUMIFS('Gap Assessment'!$E$2:$E$94,'Gap Assessment'!$C$2:$C$94,A4)/C4,0)</f>
        <v>0.535714285714286</v>
      </c>
    </row>
    <row r="5" customFormat="false" ht="15" hidden="false" customHeight="false" outlineLevel="0" collapsed="false">
      <c r="A5" s="9" t="s">
        <v>281</v>
      </c>
      <c r="B5" s="10" t="n">
        <f aca="false">COUNTIF('Gap Assessment'!$C$2:$C$94,A5)</f>
        <v>34</v>
      </c>
      <c r="C5" s="10" t="n">
        <f aca="false">B5-G5</f>
        <v>32</v>
      </c>
      <c r="D5" s="10" t="n">
        <f aca="false">COUNTIFS('Gap Assessment'!$C$2:$C$94,A5,'Gap Assessment'!$D$2:$D$94,"Implemented")</f>
        <v>1</v>
      </c>
      <c r="E5" s="10" t="n">
        <f aca="false">COUNTIFS('Gap Assessment'!$C$2:$C$94,A5,'Gap Assessment'!$D$2:$D$94,"Partially implemented")</f>
        <v>14</v>
      </c>
      <c r="F5" s="10" t="n">
        <f aca="false">COUNTIFS('Gap Assessment'!$C$2:$C$94,A5,'Gap Assessment'!$D$2:$D$94,"Not implemented")</f>
        <v>17</v>
      </c>
      <c r="G5" s="10" t="n">
        <f aca="false">COUNTIFS('Gap Assessment'!$C$2:$C$94,A5,'Gap Assessment'!$D$2:$D$94,"Not applicable")</f>
        <v>2</v>
      </c>
      <c r="H5" s="11" t="n">
        <f aca="false">IFERROR(SUMIFS('Gap Assessment'!$E$2:$E$94,'Gap Assessment'!$C$2:$C$94,A5)/C5,0)</f>
        <v>0.25</v>
      </c>
    </row>
    <row r="6" customFormat="false" ht="15" hidden="false" customHeight="false" outlineLevel="0" collapsed="false">
      <c r="A6" s="9" t="s">
        <v>433</v>
      </c>
      <c r="B6" s="12" t="n">
        <f aca="false">SUM(B2:B5)</f>
        <v>93</v>
      </c>
      <c r="C6" s="12" t="n">
        <f aca="false">SUM(C2:C5)</f>
        <v>91</v>
      </c>
      <c r="D6" s="12" t="n">
        <f aca="false">SUM(D2:D5)</f>
        <v>6</v>
      </c>
      <c r="E6" s="12" t="n">
        <f aca="false">SUM(E2:E5)</f>
        <v>44</v>
      </c>
      <c r="F6" s="12" t="n">
        <f aca="false">SUM(F2:F5)</f>
        <v>41</v>
      </c>
      <c r="G6" s="12" t="n">
        <f aca="false">SUM(G2:G5)</f>
        <v>2</v>
      </c>
      <c r="H6" s="13" t="n">
        <f aca="false">IFERROR(SUM('Gap Assessment'!$E$2:$E$94)/C6,0)</f>
        <v>0.307692307692308</v>
      </c>
    </row>
    <row r="8" customFormat="false" ht="15" hidden="false" customHeight="false" outlineLevel="0" collapsed="false">
      <c r="A8" s="4" t="s">
        <v>434</v>
      </c>
      <c r="B8" s="4" t="s">
        <v>435</v>
      </c>
      <c r="C8" s="4"/>
      <c r="D8" s="4"/>
      <c r="E8" s="4"/>
      <c r="F8" s="4"/>
      <c r="G8" s="4"/>
      <c r="H8" s="4"/>
    </row>
    <row r="9" customFormat="false" ht="15" hidden="false" customHeight="false" outlineLevel="0" collapsed="false">
      <c r="A9" s="9" t="s">
        <v>29</v>
      </c>
      <c r="B9" s="10" t="n">
        <f aca="false">COUNTIF('Gap Assessment'!$H$2:$H$94,A9)</f>
        <v>26</v>
      </c>
      <c r="C9" s="10"/>
      <c r="D9" s="10"/>
      <c r="E9" s="10"/>
      <c r="F9" s="10"/>
      <c r="G9" s="10"/>
      <c r="H9" s="10"/>
    </row>
    <row r="10" customFormat="false" ht="15" hidden="false" customHeight="false" outlineLevel="0" collapsed="false">
      <c r="A10" s="9" t="s">
        <v>40</v>
      </c>
      <c r="B10" s="10" t="n">
        <f aca="false">COUNTIF('Gap Assessment'!$H$2:$H$94,A10)</f>
        <v>38</v>
      </c>
      <c r="C10" s="10"/>
      <c r="D10" s="10"/>
      <c r="E10" s="10"/>
      <c r="F10" s="10"/>
      <c r="G10" s="10"/>
      <c r="H10" s="10"/>
    </row>
    <row r="11" customFormat="false" ht="15" hidden="false" customHeight="false" outlineLevel="0" collapsed="false">
      <c r="A11" s="9" t="s">
        <v>49</v>
      </c>
      <c r="B11" s="10" t="n">
        <f aca="false">COUNTIF('Gap Assessment'!$H$2:$H$94,A11)</f>
        <v>21</v>
      </c>
      <c r="C11" s="10"/>
      <c r="D11" s="10"/>
      <c r="E11" s="10"/>
      <c r="F11" s="10"/>
      <c r="G11" s="10"/>
      <c r="H11" s="10"/>
    </row>
    <row r="12" customFormat="false" ht="15" hidden="false" customHeight="false" outlineLevel="0" collapsed="false">
      <c r="A12" s="9" t="s">
        <v>436</v>
      </c>
      <c r="B12" s="12" t="n">
        <f aca="false">SUM(B9:B11)</f>
        <v>85</v>
      </c>
      <c r="C12" s="12"/>
      <c r="D12" s="12"/>
      <c r="E12" s="12"/>
      <c r="F12" s="12"/>
      <c r="G12" s="12"/>
      <c r="H12" s="12"/>
    </row>
    <row r="14" customFormat="false" ht="15" hidden="false" customHeight="false" outlineLevel="0" collapsed="false">
      <c r="A14" s="2" t="s">
        <v>437</v>
      </c>
      <c r="B14" s="14" t="s">
        <v>438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2026-10-19T20:53:38Z</dcterms:created>
  <dc:creator>openpyxl</dc:creator>
  <dc:description/>
  <dc:language>en-US</dc:language>
  <cp:lastModifiedBy/>
  <dcterms:modified xsi:type="dcterms:W3CDTF">2026-10-19T20:53:43Z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