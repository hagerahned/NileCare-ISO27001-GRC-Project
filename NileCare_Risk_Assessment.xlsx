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et Inventory" sheetId="2" state="visible" r:id="rId4"/>
    <sheet name="Risk Register" sheetId="3" state="visible" r:id="rId5"/>
    <sheet name="Scoring Key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<sst xmlns="http://schemas.openxmlformats.org/spreadsheetml/2006/main" count="386" uniqueCount="285">
  <si>
    <t xml:space="preserve">NileCare – ISO/IEC 27001:2022 Risk Assessment (Practice Project)</t>
  </si>
  <si>
    <t xml:space="preserve">Company (fictional)</t>
  </si>
  <si>
    <t xml:space="preserve">NileCare – private clinics group in Cairo, 3 branches, ~120 staff, electronic patient records (EMR) and an online booking portal.</t>
  </si>
  <si>
    <t xml:space="preserve">Purpose</t>
  </si>
  <si>
    <t xml:space="preserve">Portfolio GRC project: asset inventory, risk register, and treatment plan mapped to ISO 27001:2022 Annex A.</t>
  </si>
  <si>
    <t xml:space="preserve">Method</t>
  </si>
  <si>
    <t xml:space="preserve">Risk = Likelihood (1-5) x Impact (1-5). Impact is driven by the asset's Confidentiality/Integrity/Availability ratings. See 'Scoring Key'.</t>
  </si>
  <si>
    <t xml:space="preserve">Sheets</t>
  </si>
  <si>
    <t xml:space="preserve">Asset Inventory</t>
  </si>
  <si>
    <t xml:space="preserve">20 assets with owner, location, C/I/A ratings (1-3) and auto-calculated criticality.</t>
  </si>
  <si>
    <t xml:space="preserve">Risk Register</t>
  </si>
  <si>
    <t xml:space="preserve">16 risks linked to assets by Asset ID. Inherent and residual scores and levels are formulas.</t>
  </si>
  <si>
    <t xml:space="preserve">Scoring Key</t>
  </si>
  <si>
    <t xml:space="preserve">Likelihood and impact scales, risk-level thresholds (the thresholds are read by the formulas).</t>
  </si>
  <si>
    <t xml:space="preserve">Summary</t>
  </si>
  <si>
    <t xml:space="preserve">Auto-counts of risks by level, before and after treatment.</t>
  </si>
  <si>
    <t xml:space="preserve">Legend</t>
  </si>
  <si>
    <t xml:space="preserve">Blue text</t>
  </si>
  <si>
    <t xml:space="preserve">Input cells – edit these (ratings, owners, text).</t>
  </si>
  <si>
    <t xml:space="preserve">Black text</t>
  </si>
  <si>
    <t xml:space="preserve">Formulas – do not overwrite.</t>
  </si>
  <si>
    <t xml:space="preserve">Assumptions</t>
  </si>
  <si>
    <t xml:space="preserve">All assets, risks, owners and ratings are fictional and invented for practice. Annex A references follow the 2022 edition numbering. Egyptian Personal Data Protection Law No. 151 of 2020 is referenced for PII-related risks.</t>
  </si>
  <si>
    <t xml:space="preserve">Asset ID</t>
  </si>
  <si>
    <t xml:space="preserve">Asset Name</t>
  </si>
  <si>
    <t xml:space="preserve">Type</t>
  </si>
  <si>
    <t xml:space="preserve">Description</t>
  </si>
  <si>
    <t xml:space="preserve">Location</t>
  </si>
  <si>
    <t xml:space="preserve">Owner</t>
  </si>
  <si>
    <t xml:space="preserve">Confidentiality (1-3)</t>
  </si>
  <si>
    <t xml:space="preserve">Integrity (1-3)</t>
  </si>
  <si>
    <t xml:space="preserve">Availability (1-3)</t>
  </si>
  <si>
    <t xml:space="preserve">Criticality (auto)</t>
  </si>
  <si>
    <t xml:space="preserve">A-01</t>
  </si>
  <si>
    <t xml:space="preserve">EMR System (patient records)</t>
  </si>
  <si>
    <t xml:space="preserve">Application</t>
  </si>
  <si>
    <t xml:space="preserve">Electronic medical records used by all clinics</t>
  </si>
  <si>
    <t xml:space="preserve">Cloud (Egyptian hosting provider)</t>
  </si>
  <si>
    <t xml:space="preserve">Head of Medical Operations</t>
  </si>
  <si>
    <t xml:space="preserve">A-02</t>
  </si>
  <si>
    <t xml:space="preserve">Patient Database</t>
  </si>
  <si>
    <t xml:space="preserve">Data</t>
  </si>
  <si>
    <t xml:space="preserve">Patient identity, history, diagnoses, prescriptions</t>
  </si>
  <si>
    <t xml:space="preserve">Primary DB server</t>
  </si>
  <si>
    <t xml:space="preserve">IT Manager</t>
  </si>
  <si>
    <t xml:space="preserve">A-03</t>
  </si>
  <si>
    <t xml:space="preserve">Online Booking Portal</t>
  </si>
  <si>
    <t xml:space="preserve">Public website for appointment booking</t>
  </si>
  <si>
    <t xml:space="preserve">Cloud web hosting</t>
  </si>
  <si>
    <t xml:space="preserve">Digital Services Lead</t>
  </si>
  <si>
    <t xml:space="preserve">A-04</t>
  </si>
  <si>
    <t xml:space="preserve">Core DB Server</t>
  </si>
  <si>
    <t xml:space="preserve">Hardware</t>
  </si>
  <si>
    <t xml:space="preserve">On-prem server hosting EMR database replica</t>
  </si>
  <si>
    <t xml:space="preserve">HQ server room, Cairo</t>
  </si>
  <si>
    <t xml:space="preserve">A-05</t>
  </si>
  <si>
    <t xml:space="preserve">File Server</t>
  </si>
  <si>
    <t xml:space="preserve">Shared drives for admin and finance documents</t>
  </si>
  <si>
    <t xml:space="preserve">A-06</t>
  </si>
  <si>
    <t xml:space="preserve">Backup System (NAS + cloud copy)</t>
  </si>
  <si>
    <t xml:space="preserve">Nightly backups of EMR and file server</t>
  </si>
  <si>
    <t xml:space="preserve">HQ server room + cloud</t>
  </si>
  <si>
    <t xml:space="preserve">A-07</t>
  </si>
  <si>
    <t xml:space="preserve">Core Network (firewalls, switches)</t>
  </si>
  <si>
    <t xml:space="preserve">Network</t>
  </si>
  <si>
    <t xml:space="preserve">Firewalls, core and branch switches</t>
  </si>
  <si>
    <t xml:space="preserve">HQ and 3 branches</t>
  </si>
  <si>
    <t xml:space="preserve">Network Administrator</t>
  </si>
  <si>
    <t xml:space="preserve">A-08</t>
  </si>
  <si>
    <t xml:space="preserve">Branch VPN Links</t>
  </si>
  <si>
    <t xml:space="preserve">Site-to-site VPN between branches and HQ</t>
  </si>
  <si>
    <t xml:space="preserve">All branches</t>
  </si>
  <si>
    <t xml:space="preserve">A-09</t>
  </si>
  <si>
    <t xml:space="preserve">Staff Workstations (~80)</t>
  </si>
  <si>
    <t xml:space="preserve">Reception and admin PCs</t>
  </si>
  <si>
    <t xml:space="preserve">IT Support Lead</t>
  </si>
  <si>
    <t xml:space="preserve">A-10</t>
  </si>
  <si>
    <t xml:space="preserve">Doctor Laptops (~35)</t>
  </si>
  <si>
    <t xml:space="preserve">Laptops used for consultations and EMR access</t>
  </si>
  <si>
    <t xml:space="preserve">Clinics</t>
  </si>
  <si>
    <t xml:space="preserve">A-11</t>
  </si>
  <si>
    <t xml:space="preserve">Email and Collaboration (SaaS)</t>
  </si>
  <si>
    <t xml:space="preserve">Service</t>
  </si>
  <si>
    <t xml:space="preserve">Corporate email and file sharing</t>
  </si>
  <si>
    <t xml:space="preserve">Cloud SaaS</t>
  </si>
  <si>
    <t xml:space="preserve">A-12</t>
  </si>
  <si>
    <t xml:space="preserve">Active Directory</t>
  </si>
  <si>
    <t xml:space="preserve">Staff identities, groups and authentication</t>
  </si>
  <si>
    <t xml:space="preserve">HQ server room</t>
  </si>
  <si>
    <t xml:space="preserve">A-13</t>
  </si>
  <si>
    <t xml:space="preserve">Lab Information System</t>
  </si>
  <si>
    <t xml:space="preserve">Lab orders and results (integrated with EMR)</t>
  </si>
  <si>
    <t xml:space="preserve">Cloud (vendor-hosted)</t>
  </si>
  <si>
    <t xml:space="preserve">Head of Laboratory</t>
  </si>
  <si>
    <t xml:space="preserve">A-14</t>
  </si>
  <si>
    <t xml:space="preserve">Medical Imaging (PACS)</t>
  </si>
  <si>
    <t xml:space="preserve">X-ray and ultrasound image storage</t>
  </si>
  <si>
    <t xml:space="preserve">Branch 1 and HQ</t>
  </si>
  <si>
    <t xml:space="preserve">Head of Radiology</t>
  </si>
  <si>
    <t xml:space="preserve">A-15</t>
  </si>
  <si>
    <t xml:space="preserve">Payment POS and Billing System</t>
  </si>
  <si>
    <t xml:space="preserve">Card payments and invoicing</t>
  </si>
  <si>
    <t xml:space="preserve">Finance Manager</t>
  </si>
  <si>
    <t xml:space="preserve">A-16</t>
  </si>
  <si>
    <t xml:space="preserve">CCTV and Door Access System</t>
  </si>
  <si>
    <t xml:space="preserve">Cameras and badge readers</t>
  </si>
  <si>
    <t xml:space="preserve">Facilities Manager</t>
  </si>
  <si>
    <t xml:space="preserve">A-17</t>
  </si>
  <si>
    <t xml:space="preserve">HR Records</t>
  </si>
  <si>
    <t xml:space="preserve">Employee contracts, payroll, personal data</t>
  </si>
  <si>
    <t xml:space="preserve">HR cabinet and HR system</t>
  </si>
  <si>
    <t xml:space="preserve">HR Manager</t>
  </si>
  <si>
    <t xml:space="preserve">A-18</t>
  </si>
  <si>
    <t xml:space="preserve">Clinical Staff (doctors, nurses)</t>
  </si>
  <si>
    <t xml:space="preserve">People</t>
  </si>
  <si>
    <t xml:space="preserve">Users with privileged access to patient data</t>
  </si>
  <si>
    <t xml:space="preserve">A-19</t>
  </si>
  <si>
    <t xml:space="preserve">IT Team (5 staff)</t>
  </si>
  <si>
    <t xml:space="preserve">Administrators of all systems</t>
  </si>
  <si>
    <t xml:space="preserve">HQ</t>
  </si>
  <si>
    <t xml:space="preserve">A-20</t>
  </si>
  <si>
    <t xml:space="preserve">Third-party IT and EMR Vendor</t>
  </si>
  <si>
    <t xml:space="preserve">Supplier</t>
  </si>
  <si>
    <t xml:space="preserve">Vendor providing EMR hosting and support</t>
  </si>
  <si>
    <t xml:space="preserve">External</t>
  </si>
  <si>
    <t xml:space="preserve">Procurement Manager</t>
  </si>
  <si>
    <t xml:space="preserve">Risk ID</t>
  </si>
  <si>
    <t xml:space="preserve">Asset Name (auto)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</si>
  <si>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</si>
  <si>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</si>
  <si>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</si>
  <si>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</si>
  <si>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Inherent Score</t>
  </si>
  <si>
    <t xml:space="preserve">Inherent Level</t>
  </si>
  <si>
    <t xml:space="preserve">Existing Controls</t>
  </si>
  <si>
    <t xml:space="preserve">ISO 27001:2022 Annex A Control</t>
  </si>
  <si>
    <t xml:space="preserve">Treatment</t>
  </si>
  <si>
    <t xml:space="preserve">Planned Actions</t>
  </si>
  <si>
    <t xml:space="preserve">Risk Owner</t>
  </si>
  <si>
    <t xml:space="preserve">Target Date</t>
  </si>
  <si>
    <t xml:space="preserve">Residual Likelihood</t>
  </si>
  <si>
    <t xml:space="preserve">Residual Impact</t>
  </si>
  <si>
    <t xml:space="preserve">Residual Score</t>
  </si>
  <si>
    <t xml:space="preserve">Residual Level</t>
  </si>
  <si>
    <t xml:space="preserve">Status</t>
  </si>
  <si>
    <t xml:space="preserve">R-01</t>
  </si>
  <si>
    <t xml:space="preserve">Ransomware encrypts EMR and databases</t>
  </si>
  <si>
    <t xml:space="preserve">Flat network, delayed patching, limited EDR coverage</t>
  </si>
  <si>
    <t xml:space="preserve">Daily backups; basic antivirus</t>
  </si>
  <si>
    <t xml:space="preserve">A.8.7 Protection against malware; A.8.8 Technical vulnerabilities</t>
  </si>
  <si>
    <t xml:space="preserve">Mitigate</t>
  </si>
  <si>
    <t xml:space="preserve">Deploy EDR on servers and laptops; network segmentation; monthly patch cycle</t>
  </si>
  <si>
    <t xml:space="preserve">2027-03-31</t>
  </si>
  <si>
    <t xml:space="preserve">Planned</t>
  </si>
  <si>
    <t xml:space="preserve">R-02</t>
  </si>
  <si>
    <t xml:space="preserve">Unauthorized access to patient records by staff (snooping)</t>
  </si>
  <si>
    <t xml:space="preserve">No role-based access review; shared accounts at some reception desks</t>
  </si>
  <si>
    <t xml:space="preserve">Basic AD groups</t>
  </si>
  <si>
    <t xml:space="preserve">A.5.15 Access control; A.8.15 Logging</t>
  </si>
  <si>
    <t xml:space="preserve">RBAC redesign; disable shared accounts; log and review EMR access</t>
  </si>
  <si>
    <t xml:space="preserve">2027-02-28</t>
  </si>
  <si>
    <t xml:space="preserve">R-03</t>
  </si>
  <si>
    <t xml:space="preserve">Phishing leads to credential theft</t>
  </si>
  <si>
    <t xml:space="preserve">Low security awareness; MFA not enforced on email</t>
  </si>
  <si>
    <t xml:space="preserve">Spam filter</t>
  </si>
  <si>
    <t xml:space="preserve">A.6.3 Awareness and training; A.8.5 Secure authentication</t>
  </si>
  <si>
    <t xml:space="preserve">Enforce MFA on email and VPN; quarterly phishing simulations</t>
  </si>
  <si>
    <t xml:space="preserve">2027-01-31</t>
  </si>
  <si>
    <t xml:space="preserve">In progress</t>
  </si>
  <si>
    <t xml:space="preserve">R-04</t>
  </si>
  <si>
    <t xml:space="preserve">Backups corrupted or unrecoverable during an incident</t>
  </si>
  <si>
    <t xml:space="preserve">Restore never tested; backup NAS on same network as production</t>
  </si>
  <si>
    <t xml:space="preserve">Nightly backups</t>
  </si>
  <si>
    <t xml:space="preserve">A.8.13 Information backup; A.5.30 ICT readiness for continuity</t>
  </si>
  <si>
    <t xml:space="preserve">Offline/immutable copy; quarterly restore tests</t>
  </si>
  <si>
    <t xml:space="preserve">2027-02-15</t>
  </si>
  <si>
    <t xml:space="preserve">R-05</t>
  </si>
  <si>
    <t xml:space="preserve">Web attack (SQL injection, defacement) on booking portal</t>
  </si>
  <si>
    <t xml:space="preserve">No WAF; no regular vulnerability scans</t>
  </si>
  <si>
    <t xml:space="preserve">HTTPS only</t>
  </si>
  <si>
    <t xml:space="preserve">A.8.8 Technical vulnerabilities; A.8.28 Secure coding</t>
  </si>
  <si>
    <t xml:space="preserve">Deploy WAF; quarterly vulnerability scan and annual pentest</t>
  </si>
  <si>
    <t xml:space="preserve">2027-04-30</t>
  </si>
  <si>
    <t xml:space="preserve">R-06</t>
  </si>
  <si>
    <t xml:space="preserve">EMR vendor breach or outage affects patient data and availability</t>
  </si>
  <si>
    <t xml:space="preserve">No security clauses or SLA audit rights in contract</t>
  </si>
  <si>
    <t xml:space="preserve">Signed contract with SLA for uptime only</t>
  </si>
  <si>
    <t xml:space="preserve">A.5.19 Supplier relationships; A.5.20 Supplier agreements; A.5.23 Cloud services</t>
  </si>
  <si>
    <t xml:space="preserve">Add security and breach-notification clauses; annual vendor assessment</t>
  </si>
  <si>
    <t xml:space="preserve">2027-06-30</t>
  </si>
  <si>
    <t xml:space="preserve">R-07</t>
  </si>
  <si>
    <t xml:space="preserve">Loss or theft of doctor laptops with patient data</t>
  </si>
  <si>
    <t xml:space="preserve">Laptops not encrypted</t>
  </si>
  <si>
    <t xml:space="preserve">Asset tagging</t>
  </si>
  <si>
    <t xml:space="preserve">A.8.1 User endpoint devices; A.8.24 Use of cryptography</t>
  </si>
  <si>
    <t xml:space="preserve">Enable full-disk encryption (BitLocker) and remote wipe</t>
  </si>
  <si>
    <t xml:space="preserve">2027-01-15</t>
  </si>
  <si>
    <t xml:space="preserve">R-08</t>
  </si>
  <si>
    <t xml:space="preserve">Server room outage (power, cooling, fire)</t>
  </si>
  <si>
    <t xml:space="preserve">Single UPS; no environmental monitoring</t>
  </si>
  <si>
    <t xml:space="preserve">UPS; fire extinguisher</t>
  </si>
  <si>
    <t xml:space="preserve">A.7.5 Protecting against physical threats; A.8.14 Redundancy</t>
  </si>
  <si>
    <t xml:space="preserve">Environmental sensors; second UPS; DR plan</t>
  </si>
  <si>
    <t xml:space="preserve">2027-05-31</t>
  </si>
  <si>
    <t xml:space="preserve">R-09</t>
  </si>
  <si>
    <t xml:space="preserve">Privileged account compromise in Active Directory</t>
  </si>
  <si>
    <t xml:space="preserve">No PAM; admin accounts used for daily work</t>
  </si>
  <si>
    <t xml:space="preserve">Password policy</t>
  </si>
  <si>
    <t xml:space="preserve">A.8.2 Privileged access rights; A.8.5 Secure authentication</t>
  </si>
  <si>
    <t xml:space="preserve">Separate admin accounts; MFA; tiered admin model</t>
  </si>
  <si>
    <t xml:space="preserve">2027-03-15</t>
  </si>
  <si>
    <t xml:space="preserve">R-10</t>
  </si>
  <si>
    <t xml:space="preserve">Interception or misuse of branch VPN traffic</t>
  </si>
  <si>
    <t xml:space="preserve">Old VPN configuration; weak pre-shared keys</t>
  </si>
  <si>
    <t xml:space="preserve">IPsec VPN</t>
  </si>
  <si>
    <t xml:space="preserve">A.8.20 Networks security; A.8.24 Use of cryptography</t>
  </si>
  <si>
    <t xml:space="preserve">Rotate keys; move to certificate-based VPN; review configs</t>
  </si>
  <si>
    <t xml:space="preserve">R-11</t>
  </si>
  <si>
    <t xml:space="preserve">Payment card data theft from POS</t>
  </si>
  <si>
    <t xml:space="preserve">POS terminals on same VLAN as workstations</t>
  </si>
  <si>
    <t xml:space="preserve">Provider-managed terminals</t>
  </si>
  <si>
    <t xml:space="preserve">A.8.22 Segregation of networks; A.5.34 Privacy and protection of PII</t>
  </si>
  <si>
    <t xml:space="preserve">Dedicated POS VLAN; follow PCI DSS guidance</t>
  </si>
  <si>
    <t xml:space="preserve">R-12</t>
  </si>
  <si>
    <t xml:space="preserve">Sensitive data leaked via email or personal cloud sharing</t>
  </si>
  <si>
    <t xml:space="preserve">No DLP; no data classification</t>
  </si>
  <si>
    <t xml:space="preserve">Acceptable use policy</t>
  </si>
  <si>
    <t xml:space="preserve">A.5.12 Classification of information; A.8.12 Data leakage prevention</t>
  </si>
  <si>
    <t xml:space="preserve">Data classification scheme; DLP rules for patient IDs</t>
  </si>
  <si>
    <t xml:space="preserve">R-13</t>
  </si>
  <si>
    <t xml:space="preserve">Medical images unavailable during PACS failure</t>
  </si>
  <si>
    <t xml:space="preserve">Single storage node; no failover</t>
  </si>
  <si>
    <t xml:space="preserve">Vendor support contract</t>
  </si>
  <si>
    <t xml:space="preserve">A.8.14 Redundancy of information processing facilities</t>
  </si>
  <si>
    <t xml:space="preserve">Accept</t>
  </si>
  <si>
    <t xml:space="preserve">Accepted until budget cycle; images also kept on modalities for 14 days</t>
  </si>
  <si>
    <t xml:space="preserve">Accepted</t>
  </si>
  <si>
    <t xml:space="preserve">R-14</t>
  </si>
  <si>
    <t xml:space="preserve">Non-compliance with Egypt PDPL (Law 151/2020) leading to fines</t>
  </si>
  <si>
    <t xml:space="preserve">No privacy notice, retention policy or breach process</t>
  </si>
  <si>
    <t xml:space="preserve">None</t>
  </si>
  <si>
    <t xml:space="preserve">A.5.34 Privacy and protection of PII; A.5.31 Legal requirements</t>
  </si>
  <si>
    <t xml:space="preserve">Appoint DPO; privacy notice; retention schedule; breach-notification procedure</t>
  </si>
  <si>
    <t xml:space="preserve">Legal and Compliance</t>
  </si>
  <si>
    <t xml:space="preserve">R-15</t>
  </si>
  <si>
    <t xml:space="preserve">Unpatched or unlicensed software on workstations</t>
  </si>
  <si>
    <t xml:space="preserve">No central patch management or asset-software inventory</t>
  </si>
  <si>
    <t xml:space="preserve">Windows Update (manual)</t>
  </si>
  <si>
    <t xml:space="preserve">A.8.8 Technical vulnerabilities; A.8.19 Installation of software</t>
  </si>
  <si>
    <t xml:space="preserve">Deploy WSUS/Intune patching; software inventory</t>
  </si>
  <si>
    <t xml:space="preserve">R-16</t>
  </si>
  <si>
    <t xml:space="preserve">Key IT admin leaves, causing knowledge loss and access gaps</t>
  </si>
  <si>
    <t xml:space="preserve">No documentation; no offboarding checklist</t>
  </si>
  <si>
    <t xml:space="preserve">A.6.5 Responsibilities after termination; A.5.37 Documented operating procedures</t>
  </si>
  <si>
    <t xml:space="preserve">Runbooks; offboarding checklist; access revocation SLA</t>
  </si>
  <si>
    <t xml:space="preserve">Level</t>
  </si>
  <si>
    <t xml:space="preserve">Rare – unlikely in 3+ years</t>
  </si>
  <si>
    <t xml:space="preserve">Negligible – no real effect on patients or operations</t>
  </si>
  <si>
    <t xml:space="preserve">Unlikely – once every 1-3 years</t>
  </si>
  <si>
    <t xml:space="preserve">Minor – small disruption, no data exposed</t>
  </si>
  <si>
    <t xml:space="preserve">Possible – once a year</t>
  </si>
  <si>
    <t xml:space="preserve">Moderate – clinic disruption for a day, limited data exposure</t>
  </si>
  <si>
    <t xml:space="preserve">Likely – several times a year</t>
  </si>
  <si>
    <t xml:space="preserve">Major – multi-day outage or exposure of patient records</t>
  </si>
  <si>
    <t xml:space="preserve">Almost certain – monthly or more</t>
  </si>
  <si>
    <t xml:space="preserve">Severe – patient safety risk, mass data breach, legal action</t>
  </si>
  <si>
    <t xml:space="preserve">Risk level thresholds (score = L x I)</t>
  </si>
  <si>
    <t xml:space="preserve">Min score</t>
  </si>
  <si>
    <t xml:space="preserve">Low</t>
  </si>
  <si>
    <t xml:space="preserve">Medium</t>
  </si>
  <si>
    <t xml:space="preserve">High</t>
  </si>
  <si>
    <t xml:space="preserve">Critical</t>
  </si>
  <si>
    <t xml:space="preserve">Asset C/I/A rating</t>
  </si>
  <si>
    <t xml:space="preserve">Meaning</t>
  </si>
  <si>
    <t xml:space="preserve">Low – little harm if compromised</t>
  </si>
  <si>
    <t xml:space="preserve">Medium – noticeable harm</t>
  </si>
  <si>
    <t xml:space="preserve">High – serious harm (patient safety, legal, financial)</t>
  </si>
  <si>
    <t xml:space="preserve">Asset criticality (formula)</t>
  </si>
  <si>
    <t xml:space="preserve">Highest of C, I, A: 1 = Low, 2 = Medium, 3 = High</t>
  </si>
  <si>
    <t xml:space="preserve">Risk Level</t>
  </si>
  <si>
    <t xml:space="preserve">Inherent (before treatment)</t>
  </si>
  <si>
    <t xml:space="preserve">Residual (after planned treatment)</t>
  </si>
  <si>
    <t xml:space="preserve">Total</t>
  </si>
  <si>
    <t xml:space="preserve">Average score</t>
  </si>
  <si>
    <t xml:space="preserve">Risk reduction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</si>
</sst>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4" t="s">
        <v>7</v>
      </c>
      <c r="B7" s="3"/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4" t="s">
        <v>16</v>
      </c>
      <c r="B13" s="3"/>
    </row>
    <row r="14" customFormat="false" ht="15" hidden="false" customHeight="false" outlineLevel="0" collapsed="false">
      <c r="A14" s="5" t="s">
        <v>17</v>
      </c>
      <c r="B14" s="3" t="s">
        <v>18</v>
      </c>
    </row>
    <row r="15" customFormat="false" ht="15" hidden="false" customHeight="false" outlineLevel="0" collapsed="false">
      <c r="A15" s="6" t="s">
        <v>19</v>
      </c>
      <c r="B15" s="3" t="s">
        <v>20</v>
      </c>
    </row>
    <row r="16" customFormat="false" ht="30" hidden="false" customHeight="true" outlineLevel="0" collapsed="false">
      <c r="A16" s="2" t="s">
        <v>21</v>
      </c>
      <c r="B16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</row>
    <row r="2" customFormat="false" ht="15" hidden="false" customHeight="false" outlineLevel="0" collapsed="false">
      <c r="A2" s="8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10" t="n">
        <v>3</v>
      </c>
      <c r="H2" s="10" t="n">
        <v>3</v>
      </c>
      <c r="I2" s="10" t="n">
        <v>3</v>
      </c>
      <c r="J2" s="11" t="str">
        <f aca="false">IF(MAX(G2:I2)=3,"High",IF(MAX(G2:I2)=2,"Medium","Low"))</f>
        <v>High</v>
      </c>
    </row>
    <row r="3" customFormat="false" ht="15" hidden="false" customHeight="false" outlineLevel="0" collapsed="false">
      <c r="A3" s="8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10" t="n">
        <v>3</v>
      </c>
      <c r="H3" s="10" t="n">
        <v>3</v>
      </c>
      <c r="I3" s="10" t="n">
        <v>3</v>
      </c>
      <c r="J3" s="11" t="str">
        <f aca="false">IF(MAX(G3:I3)=3,"High",IF(MAX(G3:I3)=2,"Medium","Low"))</f>
        <v>High</v>
      </c>
    </row>
    <row r="4" customFormat="false" ht="15" hidden="false" customHeight="false" outlineLevel="0" collapsed="false">
      <c r="A4" s="8" t="s">
        <v>45</v>
      </c>
      <c r="B4" s="9" t="s">
        <v>46</v>
      </c>
      <c r="C4" s="9" t="s">
        <v>35</v>
      </c>
      <c r="D4" s="9" t="s">
        <v>47</v>
      </c>
      <c r="E4" s="9" t="s">
        <v>48</v>
      </c>
      <c r="F4" s="9" t="s">
        <v>49</v>
      </c>
      <c r="G4" s="10" t="n">
        <v>2</v>
      </c>
      <c r="H4" s="10" t="n">
        <v>2</v>
      </c>
      <c r="I4" s="10" t="n">
        <v>3</v>
      </c>
      <c r="J4" s="11" t="str">
        <f aca="false">IF(MAX(G4:I4)=3,"High",IF(MAX(G4:I4)=2,"Medium","Low"))</f>
        <v>High</v>
      </c>
    </row>
    <row r="5" customFormat="false" ht="15" hidden="false" customHeight="false" outlineLevel="0" collapsed="false">
      <c r="A5" s="8" t="s">
        <v>50</v>
      </c>
      <c r="B5" s="9" t="s">
        <v>51</v>
      </c>
      <c r="C5" s="9" t="s">
        <v>52</v>
      </c>
      <c r="D5" s="9" t="s">
        <v>53</v>
      </c>
      <c r="E5" s="9" t="s">
        <v>54</v>
      </c>
      <c r="F5" s="9" t="s">
        <v>44</v>
      </c>
      <c r="G5" s="10" t="n">
        <v>3</v>
      </c>
      <c r="H5" s="10" t="n">
        <v>3</v>
      </c>
      <c r="I5" s="10" t="n">
        <v>3</v>
      </c>
      <c r="J5" s="11" t="str">
        <f aca="false">IF(MAX(G5:I5)=3,"High",IF(MAX(G5:I5)=2,"Medium","Low"))</f>
        <v>High</v>
      </c>
    </row>
    <row r="6" customFormat="false" ht="15" hidden="false" customHeight="false" outlineLevel="0" collapsed="false">
      <c r="A6" s="8" t="s">
        <v>55</v>
      </c>
      <c r="B6" s="9" t="s">
        <v>56</v>
      </c>
      <c r="C6" s="9" t="s">
        <v>52</v>
      </c>
      <c r="D6" s="9" t="s">
        <v>57</v>
      </c>
      <c r="E6" s="9" t="s">
        <v>54</v>
      </c>
      <c r="F6" s="9" t="s">
        <v>44</v>
      </c>
      <c r="G6" s="10" t="n">
        <v>2</v>
      </c>
      <c r="H6" s="10" t="n">
        <v>2</v>
      </c>
      <c r="I6" s="10" t="n">
        <v>2</v>
      </c>
      <c r="J6" s="11" t="str">
        <f aca="false">IF(MAX(G6:I6)=3,"High",IF(MAX(G6:I6)=2,"Medium","Low"))</f>
        <v>Medium</v>
      </c>
    </row>
    <row r="7" customFormat="false" ht="15" hidden="false" customHeight="false" outlineLevel="0" collapsed="false">
      <c r="A7" s="8" t="s">
        <v>58</v>
      </c>
      <c r="B7" s="9" t="s">
        <v>59</v>
      </c>
      <c r="C7" s="9" t="s">
        <v>52</v>
      </c>
      <c r="D7" s="9" t="s">
        <v>60</v>
      </c>
      <c r="E7" s="9" t="s">
        <v>61</v>
      </c>
      <c r="F7" s="9" t="s">
        <v>44</v>
      </c>
      <c r="G7" s="10" t="n">
        <v>3</v>
      </c>
      <c r="H7" s="10" t="n">
        <v>3</v>
      </c>
      <c r="I7" s="10" t="n">
        <v>2</v>
      </c>
      <c r="J7" s="11" t="str">
        <f aca="false">IF(MAX(G7:I7)=3,"High",IF(MAX(G7:I7)=2,"Medium","Low"))</f>
        <v>High</v>
      </c>
    </row>
    <row r="8" customFormat="false" ht="15" hidden="false" customHeight="false" outlineLevel="0" collapsed="false">
      <c r="A8" s="8" t="s">
        <v>62</v>
      </c>
      <c r="B8" s="9" t="s">
        <v>63</v>
      </c>
      <c r="C8" s="9" t="s">
        <v>64</v>
      </c>
      <c r="D8" s="9" t="s">
        <v>65</v>
      </c>
      <c r="E8" s="9" t="s">
        <v>66</v>
      </c>
      <c r="F8" s="9" t="s">
        <v>67</v>
      </c>
      <c r="G8" s="10" t="n">
        <v>2</v>
      </c>
      <c r="H8" s="10" t="n">
        <v>3</v>
      </c>
      <c r="I8" s="10" t="n">
        <v>3</v>
      </c>
      <c r="J8" s="11" t="str">
        <f aca="false">IF(MAX(G8:I8)=3,"High",IF(MAX(G8:I8)=2,"Medium","Low"))</f>
        <v>High</v>
      </c>
    </row>
    <row r="9" customFormat="false" ht="15" hidden="false" customHeight="false" outlineLevel="0" collapsed="false">
      <c r="A9" s="8" t="s">
        <v>68</v>
      </c>
      <c r="B9" s="9" t="s">
        <v>69</v>
      </c>
      <c r="C9" s="9" t="s">
        <v>64</v>
      </c>
      <c r="D9" s="9" t="s">
        <v>70</v>
      </c>
      <c r="E9" s="9" t="s">
        <v>71</v>
      </c>
      <c r="F9" s="9" t="s">
        <v>67</v>
      </c>
      <c r="G9" s="10" t="n">
        <v>3</v>
      </c>
      <c r="H9" s="10" t="n">
        <v>3</v>
      </c>
      <c r="I9" s="10" t="n">
        <v>3</v>
      </c>
      <c r="J9" s="11" t="str">
        <f aca="false">IF(MAX(G9:I9)=3,"High",IF(MAX(G9:I9)=2,"Medium","Low"))</f>
        <v>High</v>
      </c>
    </row>
    <row r="10" customFormat="false" ht="15" hidden="false" customHeight="false" outlineLevel="0" collapsed="false">
      <c r="A10" s="8" t="s">
        <v>72</v>
      </c>
      <c r="B10" s="9" t="s">
        <v>73</v>
      </c>
      <c r="C10" s="9" t="s">
        <v>52</v>
      </c>
      <c r="D10" s="9" t="s">
        <v>74</v>
      </c>
      <c r="E10" s="9" t="s">
        <v>71</v>
      </c>
      <c r="F10" s="9" t="s">
        <v>75</v>
      </c>
      <c r="G10" s="10" t="n">
        <v>2</v>
      </c>
      <c r="H10" s="10" t="n">
        <v>2</v>
      </c>
      <c r="I10" s="10" t="n">
        <v>2</v>
      </c>
      <c r="J10" s="11" t="str">
        <f aca="false">IF(MAX(G10:I10)=3,"High",IF(MAX(G10:I10)=2,"Medium","Low"))</f>
        <v>Medium</v>
      </c>
    </row>
    <row r="11" customFormat="false" ht="15" hidden="false" customHeight="false" outlineLevel="0" collapsed="false">
      <c r="A11" s="8" t="s">
        <v>76</v>
      </c>
      <c r="B11" s="9" t="s">
        <v>77</v>
      </c>
      <c r="C11" s="9" t="s">
        <v>52</v>
      </c>
      <c r="D11" s="9" t="s">
        <v>78</v>
      </c>
      <c r="E11" s="9" t="s">
        <v>79</v>
      </c>
      <c r="F11" s="9" t="s">
        <v>75</v>
      </c>
      <c r="G11" s="10" t="n">
        <v>3</v>
      </c>
      <c r="H11" s="10" t="n">
        <v>3</v>
      </c>
      <c r="I11" s="10" t="n">
        <v>2</v>
      </c>
      <c r="J11" s="11" t="str">
        <f aca="false">IF(MAX(G11:I11)=3,"High",IF(MAX(G11:I11)=2,"Medium","Low"))</f>
        <v>High</v>
      </c>
    </row>
    <row r="12" customFormat="false" ht="15" hidden="false" customHeight="false" outlineLevel="0" collapsed="false">
      <c r="A12" s="8" t="s">
        <v>80</v>
      </c>
      <c r="B12" s="9" t="s">
        <v>81</v>
      </c>
      <c r="C12" s="9" t="s">
        <v>82</v>
      </c>
      <c r="D12" s="9" t="s">
        <v>83</v>
      </c>
      <c r="E12" s="9" t="s">
        <v>84</v>
      </c>
      <c r="F12" s="9" t="s">
        <v>44</v>
      </c>
      <c r="G12" s="10" t="n">
        <v>3</v>
      </c>
      <c r="H12" s="10" t="n">
        <v>2</v>
      </c>
      <c r="I12" s="10" t="n">
        <v>2</v>
      </c>
      <c r="J12" s="11" t="str">
        <f aca="false">IF(MAX(G12:I12)=3,"High",IF(MAX(G12:I12)=2,"Medium","Low"))</f>
        <v>High</v>
      </c>
    </row>
    <row r="13" customFormat="false" ht="15" hidden="false" customHeight="false" outlineLevel="0" collapsed="false">
      <c r="A13" s="8" t="s">
        <v>85</v>
      </c>
      <c r="B13" s="9" t="s">
        <v>86</v>
      </c>
      <c r="C13" s="9" t="s">
        <v>82</v>
      </c>
      <c r="D13" s="9" t="s">
        <v>87</v>
      </c>
      <c r="E13" s="9" t="s">
        <v>88</v>
      </c>
      <c r="F13" s="9" t="s">
        <v>44</v>
      </c>
      <c r="G13" s="10" t="n">
        <v>3</v>
      </c>
      <c r="H13" s="10" t="n">
        <v>3</v>
      </c>
      <c r="I13" s="10" t="n">
        <v>3</v>
      </c>
      <c r="J13" s="11" t="str">
        <f aca="false">IF(MAX(G13:I13)=3,"High",IF(MAX(G13:I13)=2,"Medium","Low"))</f>
        <v>High</v>
      </c>
    </row>
    <row r="14" customFormat="false" ht="15" hidden="false" customHeight="false" outlineLevel="0" collapsed="false">
      <c r="A14" s="8" t="s">
        <v>89</v>
      </c>
      <c r="B14" s="9" t="s">
        <v>90</v>
      </c>
      <c r="C14" s="9" t="s">
        <v>35</v>
      </c>
      <c r="D14" s="9" t="s">
        <v>91</v>
      </c>
      <c r="E14" s="9" t="s">
        <v>92</v>
      </c>
      <c r="F14" s="9" t="s">
        <v>93</v>
      </c>
      <c r="G14" s="10" t="n">
        <v>3</v>
      </c>
      <c r="H14" s="10" t="n">
        <v>3</v>
      </c>
      <c r="I14" s="10" t="n">
        <v>3</v>
      </c>
      <c r="J14" s="11" t="str">
        <f aca="false">IF(MAX(G14:I14)=3,"High",IF(MAX(G14:I14)=2,"Medium","Low"))</f>
        <v>High</v>
      </c>
    </row>
    <row r="15" customFormat="false" ht="15" hidden="false" customHeight="false" outlineLevel="0" collapsed="false">
      <c r="A15" s="8" t="s">
        <v>94</v>
      </c>
      <c r="B15" s="9" t="s">
        <v>95</v>
      </c>
      <c r="C15" s="9" t="s">
        <v>35</v>
      </c>
      <c r="D15" s="9" t="s">
        <v>96</v>
      </c>
      <c r="E15" s="9" t="s">
        <v>97</v>
      </c>
      <c r="F15" s="9" t="s">
        <v>98</v>
      </c>
      <c r="G15" s="10" t="n">
        <v>3</v>
      </c>
      <c r="H15" s="10" t="n">
        <v>3</v>
      </c>
      <c r="I15" s="10" t="n">
        <v>2</v>
      </c>
      <c r="J15" s="11" t="str">
        <f aca="false">IF(MAX(G15:I15)=3,"High",IF(MAX(G15:I15)=2,"Medium","Low"))</f>
        <v>High</v>
      </c>
    </row>
    <row r="16" customFormat="false" ht="15" hidden="false" customHeight="false" outlineLevel="0" collapsed="false">
      <c r="A16" s="8" t="s">
        <v>99</v>
      </c>
      <c r="B16" s="9" t="s">
        <v>100</v>
      </c>
      <c r="C16" s="9" t="s">
        <v>35</v>
      </c>
      <c r="D16" s="9" t="s">
        <v>101</v>
      </c>
      <c r="E16" s="9" t="s">
        <v>71</v>
      </c>
      <c r="F16" s="9" t="s">
        <v>102</v>
      </c>
      <c r="G16" s="10" t="n">
        <v>3</v>
      </c>
      <c r="H16" s="10" t="n">
        <v>3</v>
      </c>
      <c r="I16" s="10" t="n">
        <v>2</v>
      </c>
      <c r="J16" s="11" t="str">
        <f aca="false">IF(MAX(G16:I16)=3,"High",IF(MAX(G16:I16)=2,"Medium","Low"))</f>
        <v>High</v>
      </c>
    </row>
    <row r="17" customFormat="false" ht="15" hidden="false" customHeight="false" outlineLevel="0" collapsed="false">
      <c r="A17" s="8" t="s">
        <v>103</v>
      </c>
      <c r="B17" s="9" t="s">
        <v>104</v>
      </c>
      <c r="C17" s="9" t="s">
        <v>52</v>
      </c>
      <c r="D17" s="9" t="s">
        <v>105</v>
      </c>
      <c r="E17" s="9" t="s">
        <v>71</v>
      </c>
      <c r="F17" s="9" t="s">
        <v>106</v>
      </c>
      <c r="G17" s="10" t="n">
        <v>1</v>
      </c>
      <c r="H17" s="10" t="n">
        <v>2</v>
      </c>
      <c r="I17" s="10" t="n">
        <v>2</v>
      </c>
      <c r="J17" s="11" t="str">
        <f aca="false">IF(MAX(G17:I17)=3,"High",IF(MAX(G17:I17)=2,"Medium","Low"))</f>
        <v>Medium</v>
      </c>
    </row>
    <row r="18" customFormat="false" ht="15" hidden="false" customHeight="false" outlineLevel="0" collapsed="false">
      <c r="A18" s="8" t="s">
        <v>107</v>
      </c>
      <c r="B18" s="9" t="s">
        <v>108</v>
      </c>
      <c r="C18" s="9" t="s">
        <v>41</v>
      </c>
      <c r="D18" s="9" t="s">
        <v>109</v>
      </c>
      <c r="E18" s="9" t="s">
        <v>110</v>
      </c>
      <c r="F18" s="9" t="s">
        <v>111</v>
      </c>
      <c r="G18" s="10" t="n">
        <v>3</v>
      </c>
      <c r="H18" s="10" t="n">
        <v>2</v>
      </c>
      <c r="I18" s="10" t="n">
        <v>1</v>
      </c>
      <c r="J18" s="11" t="str">
        <f aca="false">IF(MAX(G18:I18)=3,"High",IF(MAX(G18:I18)=2,"Medium","Low"))</f>
        <v>High</v>
      </c>
    </row>
    <row r="19" customFormat="false" ht="15" hidden="false" customHeight="false" outlineLevel="0" collapsed="false">
      <c r="A19" s="8" t="s">
        <v>112</v>
      </c>
      <c r="B19" s="9" t="s">
        <v>113</v>
      </c>
      <c r="C19" s="9" t="s">
        <v>114</v>
      </c>
      <c r="D19" s="9" t="s">
        <v>115</v>
      </c>
      <c r="E19" s="9" t="s">
        <v>71</v>
      </c>
      <c r="F19" s="9" t="s">
        <v>38</v>
      </c>
      <c r="G19" s="10" t="n">
        <v>3</v>
      </c>
      <c r="H19" s="10" t="n">
        <v>3</v>
      </c>
      <c r="I19" s="10" t="n">
        <v>3</v>
      </c>
      <c r="J19" s="11" t="str">
        <f aca="false">IF(MAX(G19:I19)=3,"High",IF(MAX(G19:I19)=2,"Medium","Low"))</f>
        <v>High</v>
      </c>
    </row>
    <row r="20" customFormat="false" ht="15" hidden="false" customHeight="false" outlineLevel="0" collapsed="false">
      <c r="A20" s="8" t="s">
        <v>116</v>
      </c>
      <c r="B20" s="9" t="s">
        <v>117</v>
      </c>
      <c r="C20" s="9" t="s">
        <v>114</v>
      </c>
      <c r="D20" s="9" t="s">
        <v>118</v>
      </c>
      <c r="E20" s="9" t="s">
        <v>119</v>
      </c>
      <c r="F20" s="9" t="s">
        <v>44</v>
      </c>
      <c r="G20" s="10" t="n">
        <v>3</v>
      </c>
      <c r="H20" s="10" t="n">
        <v>3</v>
      </c>
      <c r="I20" s="10" t="n">
        <v>3</v>
      </c>
      <c r="J20" s="11" t="str">
        <f aca="false">IF(MAX(G20:I20)=3,"High",IF(MAX(G20:I20)=2,"Medium","Low"))</f>
        <v>High</v>
      </c>
    </row>
    <row r="21" customFormat="false" ht="15" hidden="false" customHeight="false" outlineLevel="0" collapsed="false">
      <c r="A21" s="8" t="s">
        <v>120</v>
      </c>
      <c r="B21" s="9" t="s">
        <v>121</v>
      </c>
      <c r="C21" s="9" t="s">
        <v>122</v>
      </c>
      <c r="D21" s="9" t="s">
        <v>123</v>
      </c>
      <c r="E21" s="9" t="s">
        <v>124</v>
      </c>
      <c r="F21" s="9" t="s">
        <v>125</v>
      </c>
      <c r="G21" s="10" t="n">
        <v>3</v>
      </c>
      <c r="H21" s="10" t="n">
        <v>3</v>
      </c>
      <c r="I21" s="10" t="n">
        <v>3</v>
      </c>
      <c r="J21" s="11" t="str">
        <f aca="false">IF(MAX(G21:I21)=3,"High",IF(MAX(G21:I21)=2,"Medium","Low"))</f>
        <v>High</v>
      </c>
    </row>
  </sheetData>
  <conditionalFormatting sqref="J2:J21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1">
    <dataValidation allowBlank="false" error="Enter 1, 2 or 3" errorStyle="stop" operator="between" showDropDown="false" showErrorMessage="true" showInputMessage="false" sqref="G2:I21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38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38"/>
    <col collapsed="false" customWidth="true" hidden="false" outlineLevel="0" max="12" min="12" style="0" width="11"/>
    <col collapsed="false" customWidth="true" hidden="false" outlineLevel="0" max="13" min="13" style="0" width="44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0" min="20" style="0" width="12"/>
  </cols>
  <sheetData>
    <row r="1" customFormat="false" ht="23.85" hidden="false" customHeight="false" outlineLevel="0" collapsed="false">
      <c r="A1" s="7" t="s">
        <v>126</v>
      </c>
      <c r="B1" s="7" t="s">
        <v>23</v>
      </c>
      <c r="C1" s="7" t="s">
        <v>127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135</v>
      </c>
      <c r="L1" s="7" t="s">
        <v>136</v>
      </c>
      <c r="M1" s="7" t="s">
        <v>137</v>
      </c>
      <c r="N1" s="7" t="s">
        <v>138</v>
      </c>
      <c r="O1" s="7" t="s">
        <v>139</v>
      </c>
      <c r="P1" s="7" t="s">
        <v>140</v>
      </c>
      <c r="Q1" s="7" t="s">
        <v>141</v>
      </c>
      <c r="R1" s="7" t="s">
        <v>142</v>
      </c>
      <c r="S1" s="7" t="s">
        <v>143</v>
      </c>
      <c r="T1" s="7" t="s">
        <v>144</v>
      </c>
    </row>
    <row r="2" customFormat="false" ht="23.85" hidden="false" customHeight="false" outlineLevel="0" collapsed="false">
      <c r="A2" s="8" t="s">
        <v>145</v>
      </c>
      <c r="B2" s="10" t="s">
        <v>33</v>
      </c>
      <c r="C2" s="8" t="str">
        <f aca="false">IFERROR(INDEX('Asset Inventory'!$B$2:$B$21,MATCH(B2,'Asset Inventory'!$A$2:$A$21,0)),"Unknown asset")</f>
        <v>EMR System (patient records)</v>
      </c>
      <c r="D2" s="9" t="s">
        <v>146</v>
      </c>
      <c r="E2" s="9" t="s">
        <v>147</v>
      </c>
      <c r="F2" s="10" t="n">
        <v>4</v>
      </c>
      <c r="G2" s="10" t="n">
        <v>5</v>
      </c>
      <c r="H2" s="12" t="n">
        <f aca="false">F2*G2</f>
        <v>20</v>
      </c>
      <c r="I2" s="11" t="str">
        <f aca="false">IF(H2&gt;='Scoring Key'!$B$12,"Critical",IF(H2&gt;='Scoring Key'!$B$11,"High",IF(H2&gt;='Scoring Key'!$B$10,"Medium","Low")))</f>
        <v>Critical</v>
      </c>
      <c r="J2" s="9" t="s">
        <v>148</v>
      </c>
      <c r="K2" s="9" t="s">
        <v>149</v>
      </c>
      <c r="L2" s="10" t="s">
        <v>150</v>
      </c>
      <c r="M2" s="9" t="s">
        <v>151</v>
      </c>
      <c r="N2" s="9" t="s">
        <v>44</v>
      </c>
      <c r="O2" s="10" t="s">
        <v>152</v>
      </c>
      <c r="P2" s="10" t="n">
        <v>2</v>
      </c>
      <c r="Q2" s="10" t="n">
        <v>4</v>
      </c>
      <c r="R2" s="12" t="n">
        <f aca="false">P2*Q2</f>
        <v>8</v>
      </c>
      <c r="S2" s="11" t="str">
        <f aca="false">IF(R2&gt;='Scoring Key'!$B$12,"Critical",IF(R2&gt;='Scoring Key'!$B$11,"High",IF(R2&gt;='Scoring Key'!$B$10,"Medium","Low")))</f>
        <v>Medium</v>
      </c>
      <c r="T2" s="10" t="s">
        <v>153</v>
      </c>
    </row>
    <row r="3" customFormat="false" ht="23.85" hidden="false" customHeight="false" outlineLevel="0" collapsed="false">
      <c r="A3" s="8" t="s">
        <v>154</v>
      </c>
      <c r="B3" s="10" t="s">
        <v>39</v>
      </c>
      <c r="C3" s="8" t="str">
        <f aca="false">IFERROR(INDEX('Asset Inventory'!$B$2:$B$21,MATCH(B3,'Asset Inventory'!$A$2:$A$21,0)),"Unknown asset")</f>
        <v>Patient Database</v>
      </c>
      <c r="D3" s="9" t="s">
        <v>155</v>
      </c>
      <c r="E3" s="9" t="s">
        <v>156</v>
      </c>
      <c r="F3" s="10" t="n">
        <v>4</v>
      </c>
      <c r="G3" s="10" t="n">
        <v>4</v>
      </c>
      <c r="H3" s="12" t="n">
        <f aca="false">F3*G3</f>
        <v>16</v>
      </c>
      <c r="I3" s="11" t="str">
        <f aca="false">IF(H3&gt;='Scoring Key'!$B$12,"Critical",IF(H3&gt;='Scoring Key'!$B$11,"High",IF(H3&gt;='Scoring Key'!$B$10,"Medium","Low")))</f>
        <v>High</v>
      </c>
      <c r="J3" s="9" t="s">
        <v>157</v>
      </c>
      <c r="K3" s="9" t="s">
        <v>158</v>
      </c>
      <c r="L3" s="10" t="s">
        <v>150</v>
      </c>
      <c r="M3" s="9" t="s">
        <v>159</v>
      </c>
      <c r="N3" s="9" t="s">
        <v>38</v>
      </c>
      <c r="O3" s="10" t="s">
        <v>160</v>
      </c>
      <c r="P3" s="10" t="n">
        <v>2</v>
      </c>
      <c r="Q3" s="10" t="n">
        <v>3</v>
      </c>
      <c r="R3" s="12" t="n">
        <f aca="false">P3*Q3</f>
        <v>6</v>
      </c>
      <c r="S3" s="11" t="str">
        <f aca="false">IF(R3&gt;='Scoring Key'!$B$12,"Critical",IF(R3&gt;='Scoring Key'!$B$11,"High",IF(R3&gt;='Scoring Key'!$B$10,"Medium","Low")))</f>
        <v>Medium</v>
      </c>
      <c r="T3" s="10" t="s">
        <v>153</v>
      </c>
    </row>
    <row r="4" customFormat="false" ht="23.85" hidden="false" customHeight="false" outlineLevel="0" collapsed="false">
      <c r="A4" s="8" t="s">
        <v>161</v>
      </c>
      <c r="B4" s="10" t="s">
        <v>45</v>
      </c>
      <c r="C4" s="8" t="str">
        <f aca="false">IFERROR(INDEX('Asset Inventory'!$B$2:$B$21,MATCH(B4,'Asset Inventory'!$A$2:$A$21,0)),"Unknown asset")</f>
        <v>Online Booking Portal</v>
      </c>
      <c r="D4" s="9" t="s">
        <v>162</v>
      </c>
      <c r="E4" s="9" t="s">
        <v>163</v>
      </c>
      <c r="F4" s="10" t="n">
        <v>5</v>
      </c>
      <c r="G4" s="10" t="n">
        <v>4</v>
      </c>
      <c r="H4" s="12" t="n">
        <f aca="false">F4*G4</f>
        <v>20</v>
      </c>
      <c r="I4" s="11" t="str">
        <f aca="false">IF(H4&gt;='Scoring Key'!$B$12,"Critical",IF(H4&gt;='Scoring Key'!$B$11,"High",IF(H4&gt;='Scoring Key'!$B$10,"Medium","Low")))</f>
        <v>Critical</v>
      </c>
      <c r="J4" s="9" t="s">
        <v>164</v>
      </c>
      <c r="K4" s="9" t="s">
        <v>165</v>
      </c>
      <c r="L4" s="10" t="s">
        <v>150</v>
      </c>
      <c r="M4" s="9" t="s">
        <v>166</v>
      </c>
      <c r="N4" s="9" t="s">
        <v>44</v>
      </c>
      <c r="O4" s="10" t="s">
        <v>167</v>
      </c>
      <c r="P4" s="10" t="n">
        <v>3</v>
      </c>
      <c r="Q4" s="10" t="n">
        <v>3</v>
      </c>
      <c r="R4" s="12" t="n">
        <f aca="false">P4*Q4</f>
        <v>9</v>
      </c>
      <c r="S4" s="11" t="str">
        <f aca="false">IF(R4&gt;='Scoring Key'!$B$12,"Critical",IF(R4&gt;='Scoring Key'!$B$11,"High",IF(R4&gt;='Scoring Key'!$B$10,"Medium","Low")))</f>
        <v>Medium</v>
      </c>
      <c r="T4" s="10" t="s">
        <v>168</v>
      </c>
    </row>
    <row r="5" customFormat="false" ht="23.85" hidden="false" customHeight="false" outlineLevel="0" collapsed="false">
      <c r="A5" s="8" t="s">
        <v>169</v>
      </c>
      <c r="B5" s="10" t="s">
        <v>58</v>
      </c>
      <c r="C5" s="8" t="str">
        <f aca="false">IFERROR(INDEX('Asset Inventory'!$B$2:$B$21,MATCH(B5,'Asset Inventory'!$A$2:$A$21,0)),"Unknown asset")</f>
        <v>Backup System (NAS + cloud copy)</v>
      </c>
      <c r="D5" s="9" t="s">
        <v>170</v>
      </c>
      <c r="E5" s="9" t="s">
        <v>171</v>
      </c>
      <c r="F5" s="10" t="n">
        <v>3</v>
      </c>
      <c r="G5" s="10" t="n">
        <v>5</v>
      </c>
      <c r="H5" s="12" t="n">
        <f aca="false">F5*G5</f>
        <v>15</v>
      </c>
      <c r="I5" s="11" t="str">
        <f aca="false">IF(H5&gt;='Scoring Key'!$B$12,"Critical",IF(H5&gt;='Scoring Key'!$B$11,"High",IF(H5&gt;='Scoring Key'!$B$10,"Medium","Low")))</f>
        <v>High</v>
      </c>
      <c r="J5" s="9" t="s">
        <v>172</v>
      </c>
      <c r="K5" s="9" t="s">
        <v>173</v>
      </c>
      <c r="L5" s="10" t="s">
        <v>150</v>
      </c>
      <c r="M5" s="9" t="s">
        <v>174</v>
      </c>
      <c r="N5" s="9" t="s">
        <v>44</v>
      </c>
      <c r="O5" s="10" t="s">
        <v>175</v>
      </c>
      <c r="P5" s="10" t="n">
        <v>2</v>
      </c>
      <c r="Q5" s="10" t="n">
        <v>3</v>
      </c>
      <c r="R5" s="12" t="n">
        <f aca="false">P5*Q5</f>
        <v>6</v>
      </c>
      <c r="S5" s="11" t="str">
        <f aca="false">IF(R5&gt;='Scoring Key'!$B$12,"Critical",IF(R5&gt;='Scoring Key'!$B$11,"High",IF(R5&gt;='Scoring Key'!$B$10,"Medium","Low")))</f>
        <v>Medium</v>
      </c>
      <c r="T5" s="10" t="s">
        <v>153</v>
      </c>
    </row>
    <row r="6" customFormat="false" ht="23.85" hidden="false" customHeight="false" outlineLevel="0" collapsed="false">
      <c r="A6" s="8" t="s">
        <v>176</v>
      </c>
      <c r="B6" s="10" t="s">
        <v>45</v>
      </c>
      <c r="C6" s="8" t="str">
        <f aca="false">IFERROR(INDEX('Asset Inventory'!$B$2:$B$21,MATCH(B6,'Asset Inventory'!$A$2:$A$21,0)),"Unknown asset")</f>
        <v>Online Booking Portal</v>
      </c>
      <c r="D6" s="9" t="s">
        <v>177</v>
      </c>
      <c r="E6" s="9" t="s">
        <v>178</v>
      </c>
      <c r="F6" s="10" t="n">
        <v>3</v>
      </c>
      <c r="G6" s="10" t="n">
        <v>3</v>
      </c>
      <c r="H6" s="12" t="n">
        <f aca="false">F6*G6</f>
        <v>9</v>
      </c>
      <c r="I6" s="11" t="str">
        <f aca="false">IF(H6&gt;='Scoring Key'!$B$12,"Critical",IF(H6&gt;='Scoring Key'!$B$11,"High",IF(H6&gt;='Scoring Key'!$B$10,"Medium","Low")))</f>
        <v>Medium</v>
      </c>
      <c r="J6" s="9" t="s">
        <v>179</v>
      </c>
      <c r="K6" s="9" t="s">
        <v>180</v>
      </c>
      <c r="L6" s="10" t="s">
        <v>150</v>
      </c>
      <c r="M6" s="9" t="s">
        <v>181</v>
      </c>
      <c r="N6" s="9" t="s">
        <v>49</v>
      </c>
      <c r="O6" s="10" t="s">
        <v>182</v>
      </c>
      <c r="P6" s="10" t="n">
        <v>2</v>
      </c>
      <c r="Q6" s="10" t="n">
        <v>2</v>
      </c>
      <c r="R6" s="12" t="n">
        <f aca="false">P6*Q6</f>
        <v>4</v>
      </c>
      <c r="S6" s="11" t="str">
        <f aca="false">IF(R6&gt;='Scoring Key'!$B$12,"Critical",IF(R6&gt;='Scoring Key'!$B$11,"High",IF(R6&gt;='Scoring Key'!$B$10,"Medium","Low")))</f>
        <v>Low</v>
      </c>
      <c r="T6" s="10" t="s">
        <v>153</v>
      </c>
    </row>
    <row r="7" customFormat="false" ht="23.85" hidden="false" customHeight="false" outlineLevel="0" collapsed="false">
      <c r="A7" s="8" t="s">
        <v>183</v>
      </c>
      <c r="B7" s="10" t="s">
        <v>120</v>
      </c>
      <c r="C7" s="8" t="str">
        <f aca="false">IFERROR(INDEX('Asset Inventory'!$B$2:$B$21,MATCH(B7,'Asset Inventory'!$A$2:$A$21,0)),"Unknown asset")</f>
        <v>Third-party IT and EMR Vendor</v>
      </c>
      <c r="D7" s="9" t="s">
        <v>184</v>
      </c>
      <c r="E7" s="9" t="s">
        <v>185</v>
      </c>
      <c r="F7" s="10" t="n">
        <v>3</v>
      </c>
      <c r="G7" s="10" t="n">
        <v>5</v>
      </c>
      <c r="H7" s="12" t="n">
        <f aca="false">F7*G7</f>
        <v>15</v>
      </c>
      <c r="I7" s="11" t="str">
        <f aca="false">IF(H7&gt;='Scoring Key'!$B$12,"Critical",IF(H7&gt;='Scoring Key'!$B$11,"High",IF(H7&gt;='Scoring Key'!$B$10,"Medium","Low")))</f>
        <v>High</v>
      </c>
      <c r="J7" s="9" t="s">
        <v>186</v>
      </c>
      <c r="K7" s="9" t="s">
        <v>187</v>
      </c>
      <c r="L7" s="10" t="s">
        <v>150</v>
      </c>
      <c r="M7" s="9" t="s">
        <v>188</v>
      </c>
      <c r="N7" s="9" t="s">
        <v>125</v>
      </c>
      <c r="O7" s="10" t="s">
        <v>189</v>
      </c>
      <c r="P7" s="10" t="n">
        <v>2</v>
      </c>
      <c r="Q7" s="10" t="n">
        <v>4</v>
      </c>
      <c r="R7" s="12" t="n">
        <f aca="false">P7*Q7</f>
        <v>8</v>
      </c>
      <c r="S7" s="11" t="str">
        <f aca="false">IF(R7&gt;='Scoring Key'!$B$12,"Critical",IF(R7&gt;='Scoring Key'!$B$11,"High",IF(R7&gt;='Scoring Key'!$B$10,"Medium","Low")))</f>
        <v>Medium</v>
      </c>
      <c r="T7" s="10" t="s">
        <v>153</v>
      </c>
    </row>
    <row r="8" customFormat="false" ht="23.85" hidden="false" customHeight="false" outlineLevel="0" collapsed="false">
      <c r="A8" s="8" t="s">
        <v>190</v>
      </c>
      <c r="B8" s="10" t="s">
        <v>76</v>
      </c>
      <c r="C8" s="8" t="str">
        <f aca="false">IFERROR(INDEX('Asset Inventory'!$B$2:$B$21,MATCH(B8,'Asset Inventory'!$A$2:$A$21,0)),"Unknown asset")</f>
        <v>Doctor Laptops (~35)</v>
      </c>
      <c r="D8" s="9" t="s">
        <v>191</v>
      </c>
      <c r="E8" s="9" t="s">
        <v>192</v>
      </c>
      <c r="F8" s="10" t="n">
        <v>3</v>
      </c>
      <c r="G8" s="10" t="n">
        <v>4</v>
      </c>
      <c r="H8" s="12" t="n">
        <f aca="false">F8*G8</f>
        <v>12</v>
      </c>
      <c r="I8" s="11" t="str">
        <f aca="false">IF(H8&gt;='Scoring Key'!$B$12,"Critical",IF(H8&gt;='Scoring Key'!$B$11,"High",IF(H8&gt;='Scoring Key'!$B$10,"Medium","Low")))</f>
        <v>High</v>
      </c>
      <c r="J8" s="9" t="s">
        <v>193</v>
      </c>
      <c r="K8" s="9" t="s">
        <v>194</v>
      </c>
      <c r="L8" s="10" t="s">
        <v>150</v>
      </c>
      <c r="M8" s="9" t="s">
        <v>195</v>
      </c>
      <c r="N8" s="9" t="s">
        <v>75</v>
      </c>
      <c r="O8" s="10" t="s">
        <v>196</v>
      </c>
      <c r="P8" s="10" t="n">
        <v>1</v>
      </c>
      <c r="Q8" s="10" t="n">
        <v>3</v>
      </c>
      <c r="R8" s="12" t="n">
        <f aca="false">P8*Q8</f>
        <v>3</v>
      </c>
      <c r="S8" s="11" t="str">
        <f aca="false">IF(R8&gt;='Scoring Key'!$B$12,"Critical",IF(R8&gt;='Scoring Key'!$B$11,"High",IF(R8&gt;='Scoring Key'!$B$10,"Medium","Low")))</f>
        <v>Low</v>
      </c>
      <c r="T8" s="10" t="s">
        <v>168</v>
      </c>
    </row>
    <row r="9" customFormat="false" ht="23.85" hidden="false" customHeight="false" outlineLevel="0" collapsed="false">
      <c r="A9" s="8" t="s">
        <v>197</v>
      </c>
      <c r="B9" s="10" t="s">
        <v>50</v>
      </c>
      <c r="C9" s="8" t="str">
        <f aca="false">IFERROR(INDEX('Asset Inventory'!$B$2:$B$21,MATCH(B9,'Asset Inventory'!$A$2:$A$21,0)),"Unknown asset")</f>
        <v>Core DB Server</v>
      </c>
      <c r="D9" s="9" t="s">
        <v>198</v>
      </c>
      <c r="E9" s="9" t="s">
        <v>199</v>
      </c>
      <c r="F9" s="10" t="n">
        <v>2</v>
      </c>
      <c r="G9" s="10" t="n">
        <v>5</v>
      </c>
      <c r="H9" s="12" t="n">
        <f aca="false">F9*G9</f>
        <v>10</v>
      </c>
      <c r="I9" s="11" t="str">
        <f aca="false">IF(H9&gt;='Scoring Key'!$B$12,"Critical",IF(H9&gt;='Scoring Key'!$B$11,"High",IF(H9&gt;='Scoring Key'!$B$10,"Medium","Low")))</f>
        <v>High</v>
      </c>
      <c r="J9" s="9" t="s">
        <v>200</v>
      </c>
      <c r="K9" s="9" t="s">
        <v>201</v>
      </c>
      <c r="L9" s="10" t="s">
        <v>150</v>
      </c>
      <c r="M9" s="9" t="s">
        <v>202</v>
      </c>
      <c r="N9" s="9" t="s">
        <v>106</v>
      </c>
      <c r="O9" s="10" t="s">
        <v>203</v>
      </c>
      <c r="P9" s="10" t="n">
        <v>2</v>
      </c>
      <c r="Q9" s="10" t="n">
        <v>3</v>
      </c>
      <c r="R9" s="12" t="n">
        <f aca="false">P9*Q9</f>
        <v>6</v>
      </c>
      <c r="S9" s="11" t="str">
        <f aca="false">IF(R9&gt;='Scoring Key'!$B$12,"Critical",IF(R9&gt;='Scoring Key'!$B$11,"High",IF(R9&gt;='Scoring Key'!$B$10,"Medium","Low")))</f>
        <v>Medium</v>
      </c>
      <c r="T9" s="10" t="s">
        <v>153</v>
      </c>
    </row>
    <row r="10" customFormat="false" ht="23.85" hidden="false" customHeight="false" outlineLevel="0" collapsed="false">
      <c r="A10" s="8" t="s">
        <v>204</v>
      </c>
      <c r="B10" s="10" t="s">
        <v>85</v>
      </c>
      <c r="C10" s="8" t="str">
        <f aca="false">IFERROR(INDEX('Asset Inventory'!$B$2:$B$21,MATCH(B10,'Asset Inventory'!$A$2:$A$21,0)),"Unknown asset")</f>
        <v>Active Directory</v>
      </c>
      <c r="D10" s="9" t="s">
        <v>205</v>
      </c>
      <c r="E10" s="9" t="s">
        <v>206</v>
      </c>
      <c r="F10" s="10" t="n">
        <v>3</v>
      </c>
      <c r="G10" s="10" t="n">
        <v>5</v>
      </c>
      <c r="H10" s="12" t="n">
        <f aca="false">F10*G10</f>
        <v>15</v>
      </c>
      <c r="I10" s="11" t="str">
        <f aca="false">IF(H10&gt;='Scoring Key'!$B$12,"Critical",IF(H10&gt;='Scoring Key'!$B$11,"High",IF(H10&gt;='Scoring Key'!$B$10,"Medium","Low")))</f>
        <v>High</v>
      </c>
      <c r="J10" s="9" t="s">
        <v>207</v>
      </c>
      <c r="K10" s="9" t="s">
        <v>208</v>
      </c>
      <c r="L10" s="10" t="s">
        <v>150</v>
      </c>
      <c r="M10" s="9" t="s">
        <v>209</v>
      </c>
      <c r="N10" s="9" t="s">
        <v>44</v>
      </c>
      <c r="O10" s="10" t="s">
        <v>210</v>
      </c>
      <c r="P10" s="10" t="n">
        <v>2</v>
      </c>
      <c r="Q10" s="10" t="n">
        <v>4</v>
      </c>
      <c r="R10" s="12" t="n">
        <f aca="false">P10*Q10</f>
        <v>8</v>
      </c>
      <c r="S10" s="11" t="str">
        <f aca="false">IF(R10&gt;='Scoring Key'!$B$12,"Critical",IF(R10&gt;='Scoring Key'!$B$11,"High",IF(R10&gt;='Scoring Key'!$B$10,"Medium","Low")))</f>
        <v>Medium</v>
      </c>
      <c r="T10" s="10" t="s">
        <v>153</v>
      </c>
    </row>
    <row r="11" customFormat="false" ht="23.85" hidden="false" customHeight="false" outlineLevel="0" collapsed="false">
      <c r="A11" s="8" t="s">
        <v>211</v>
      </c>
      <c r="B11" s="10" t="s">
        <v>68</v>
      </c>
      <c r="C11" s="8" t="str">
        <f aca="false">IFERROR(INDEX('Asset Inventory'!$B$2:$B$21,MATCH(B11,'Asset Inventory'!$A$2:$A$21,0)),"Unknown asset")</f>
        <v>Branch VPN Links</v>
      </c>
      <c r="D11" s="9" t="s">
        <v>212</v>
      </c>
      <c r="E11" s="9" t="s">
        <v>213</v>
      </c>
      <c r="F11" s="10" t="n">
        <v>2</v>
      </c>
      <c r="G11" s="10" t="n">
        <v>4</v>
      </c>
      <c r="H11" s="12" t="n">
        <f aca="false">F11*G11</f>
        <v>8</v>
      </c>
      <c r="I11" s="11" t="str">
        <f aca="false">IF(H11&gt;='Scoring Key'!$B$12,"Critical",IF(H11&gt;='Scoring Key'!$B$11,"High",IF(H11&gt;='Scoring Key'!$B$10,"Medium","Low")))</f>
        <v>Medium</v>
      </c>
      <c r="J11" s="9" t="s">
        <v>214</v>
      </c>
      <c r="K11" s="9" t="s">
        <v>215</v>
      </c>
      <c r="L11" s="10" t="s">
        <v>150</v>
      </c>
      <c r="M11" s="9" t="s">
        <v>216</v>
      </c>
      <c r="N11" s="9" t="s">
        <v>67</v>
      </c>
      <c r="O11" s="10" t="s">
        <v>160</v>
      </c>
      <c r="P11" s="10" t="n">
        <v>1</v>
      </c>
      <c r="Q11" s="10" t="n">
        <v>3</v>
      </c>
      <c r="R11" s="12" t="n">
        <f aca="false">P11*Q11</f>
        <v>3</v>
      </c>
      <c r="S11" s="11" t="str">
        <f aca="false">IF(R11&gt;='Scoring Key'!$B$12,"Critical",IF(R11&gt;='Scoring Key'!$B$11,"High",IF(R11&gt;='Scoring Key'!$B$10,"Medium","Low")))</f>
        <v>Low</v>
      </c>
      <c r="T11" s="10" t="s">
        <v>153</v>
      </c>
    </row>
    <row r="12" customFormat="false" ht="23.85" hidden="false" customHeight="false" outlineLevel="0" collapsed="false">
      <c r="A12" s="8" t="s">
        <v>217</v>
      </c>
      <c r="B12" s="10" t="s">
        <v>99</v>
      </c>
      <c r="C12" s="8" t="str">
        <f aca="false">IFERROR(INDEX('Asset Inventory'!$B$2:$B$21,MATCH(B12,'Asset Inventory'!$A$2:$A$21,0)),"Unknown asset")</f>
        <v>Payment POS and Billing System</v>
      </c>
      <c r="D12" s="9" t="s">
        <v>218</v>
      </c>
      <c r="E12" s="9" t="s">
        <v>219</v>
      </c>
      <c r="F12" s="10" t="n">
        <v>2</v>
      </c>
      <c r="G12" s="10" t="n">
        <v>4</v>
      </c>
      <c r="H12" s="12" t="n">
        <f aca="false">F12*G12</f>
        <v>8</v>
      </c>
      <c r="I12" s="11" t="str">
        <f aca="false">IF(H12&gt;='Scoring Key'!$B$12,"Critical",IF(H12&gt;='Scoring Key'!$B$11,"High",IF(H12&gt;='Scoring Key'!$B$10,"Medium","Low")))</f>
        <v>Medium</v>
      </c>
      <c r="J12" s="9" t="s">
        <v>220</v>
      </c>
      <c r="K12" s="9" t="s">
        <v>221</v>
      </c>
      <c r="L12" s="10" t="s">
        <v>150</v>
      </c>
      <c r="M12" s="9" t="s">
        <v>222</v>
      </c>
      <c r="N12" s="9" t="s">
        <v>102</v>
      </c>
      <c r="O12" s="10" t="s">
        <v>152</v>
      </c>
      <c r="P12" s="10" t="n">
        <v>1</v>
      </c>
      <c r="Q12" s="10" t="n">
        <v>3</v>
      </c>
      <c r="R12" s="12" t="n">
        <f aca="false">P12*Q12</f>
        <v>3</v>
      </c>
      <c r="S12" s="11" t="str">
        <f aca="false">IF(R12&gt;='Scoring Key'!$B$12,"Critical",IF(R12&gt;='Scoring Key'!$B$11,"High",IF(R12&gt;='Scoring Key'!$B$10,"Medium","Low")))</f>
        <v>Low</v>
      </c>
      <c r="T12" s="10" t="s">
        <v>153</v>
      </c>
    </row>
    <row r="13" customFormat="false" ht="23.85" hidden="false" customHeight="false" outlineLevel="0" collapsed="false">
      <c r="A13" s="8" t="s">
        <v>223</v>
      </c>
      <c r="B13" s="10" t="s">
        <v>80</v>
      </c>
      <c r="C13" s="8" t="str">
        <f aca="false">IFERROR(INDEX('Asset Inventory'!$B$2:$B$21,MATCH(B13,'Asset Inventory'!$A$2:$A$21,0)),"Unknown asset")</f>
        <v>Email and Collaboration (SaaS)</v>
      </c>
      <c r="D13" s="9" t="s">
        <v>224</v>
      </c>
      <c r="E13" s="9" t="s">
        <v>225</v>
      </c>
      <c r="F13" s="10" t="n">
        <v>4</v>
      </c>
      <c r="G13" s="10" t="n">
        <v>3</v>
      </c>
      <c r="H13" s="12" t="n">
        <f aca="false">F13*G13</f>
        <v>12</v>
      </c>
      <c r="I13" s="11" t="str">
        <f aca="false">IF(H13&gt;='Scoring Key'!$B$12,"Critical",IF(H13&gt;='Scoring Key'!$B$11,"High",IF(H13&gt;='Scoring Key'!$B$10,"Medium","Low")))</f>
        <v>High</v>
      </c>
      <c r="J13" s="9" t="s">
        <v>226</v>
      </c>
      <c r="K13" s="9" t="s">
        <v>227</v>
      </c>
      <c r="L13" s="10" t="s">
        <v>150</v>
      </c>
      <c r="M13" s="9" t="s">
        <v>228</v>
      </c>
      <c r="N13" s="9" t="s">
        <v>44</v>
      </c>
      <c r="O13" s="10" t="s">
        <v>182</v>
      </c>
      <c r="P13" s="10" t="n">
        <v>2</v>
      </c>
      <c r="Q13" s="10" t="n">
        <v>2</v>
      </c>
      <c r="R13" s="12" t="n">
        <f aca="false">P13*Q13</f>
        <v>4</v>
      </c>
      <c r="S13" s="11" t="str">
        <f aca="false">IF(R13&gt;='Scoring Key'!$B$12,"Critical",IF(R13&gt;='Scoring Key'!$B$11,"High",IF(R13&gt;='Scoring Key'!$B$10,"Medium","Low")))</f>
        <v>Low</v>
      </c>
      <c r="T13" s="10" t="s">
        <v>153</v>
      </c>
    </row>
    <row r="14" customFormat="false" ht="23.85" hidden="false" customHeight="false" outlineLevel="0" collapsed="false">
      <c r="A14" s="8" t="s">
        <v>229</v>
      </c>
      <c r="B14" s="10" t="s">
        <v>94</v>
      </c>
      <c r="C14" s="8" t="str">
        <f aca="false">IFERROR(INDEX('Asset Inventory'!$B$2:$B$21,MATCH(B14,'Asset Inventory'!$A$2:$A$21,0)),"Unknown asset")</f>
        <v>Medical Imaging (PACS)</v>
      </c>
      <c r="D14" s="9" t="s">
        <v>230</v>
      </c>
      <c r="E14" s="9" t="s">
        <v>231</v>
      </c>
      <c r="F14" s="10" t="n">
        <v>3</v>
      </c>
      <c r="G14" s="10" t="n">
        <v>3</v>
      </c>
      <c r="H14" s="12" t="n">
        <f aca="false">F14*G14</f>
        <v>9</v>
      </c>
      <c r="I14" s="11" t="str">
        <f aca="false">IF(H14&gt;='Scoring Key'!$B$12,"Critical",IF(H14&gt;='Scoring Key'!$B$11,"High",IF(H14&gt;='Scoring Key'!$B$10,"Medium","Low")))</f>
        <v>Medium</v>
      </c>
      <c r="J14" s="9" t="s">
        <v>232</v>
      </c>
      <c r="K14" s="9" t="s">
        <v>233</v>
      </c>
      <c r="L14" s="10" t="s">
        <v>234</v>
      </c>
      <c r="M14" s="9" t="s">
        <v>235</v>
      </c>
      <c r="N14" s="9" t="s">
        <v>98</v>
      </c>
      <c r="O14" s="10" t="s">
        <v>189</v>
      </c>
      <c r="P14" s="10" t="n">
        <v>3</v>
      </c>
      <c r="Q14" s="10" t="n">
        <v>2</v>
      </c>
      <c r="R14" s="12" t="n">
        <f aca="false">P14*Q14</f>
        <v>6</v>
      </c>
      <c r="S14" s="11" t="str">
        <f aca="false">IF(R14&gt;='Scoring Key'!$B$12,"Critical",IF(R14&gt;='Scoring Key'!$B$11,"High",IF(R14&gt;='Scoring Key'!$B$10,"Medium","Low")))</f>
        <v>Medium</v>
      </c>
      <c r="T14" s="10" t="s">
        <v>236</v>
      </c>
    </row>
    <row r="15" customFormat="false" ht="23.85" hidden="false" customHeight="false" outlineLevel="0" collapsed="false">
      <c r="A15" s="8" t="s">
        <v>237</v>
      </c>
      <c r="B15" s="10" t="s">
        <v>39</v>
      </c>
      <c r="C15" s="8" t="str">
        <f aca="false">IFERROR(INDEX('Asset Inventory'!$B$2:$B$21,MATCH(B15,'Asset Inventory'!$A$2:$A$21,0)),"Unknown asset")</f>
        <v>Patient Database</v>
      </c>
      <c r="D15" s="9" t="s">
        <v>238</v>
      </c>
      <c r="E15" s="9" t="s">
        <v>239</v>
      </c>
      <c r="F15" s="10" t="n">
        <v>4</v>
      </c>
      <c r="G15" s="10" t="n">
        <v>4</v>
      </c>
      <c r="H15" s="12" t="n">
        <f aca="false">F15*G15</f>
        <v>16</v>
      </c>
      <c r="I15" s="11" t="str">
        <f aca="false">IF(H15&gt;='Scoring Key'!$B$12,"Critical",IF(H15&gt;='Scoring Key'!$B$11,"High",IF(H15&gt;='Scoring Key'!$B$10,"Medium","Low")))</f>
        <v>High</v>
      </c>
      <c r="J15" s="9" t="s">
        <v>240</v>
      </c>
      <c r="K15" s="9" t="s">
        <v>241</v>
      </c>
      <c r="L15" s="10" t="s">
        <v>150</v>
      </c>
      <c r="M15" s="9" t="s">
        <v>242</v>
      </c>
      <c r="N15" s="9" t="s">
        <v>243</v>
      </c>
      <c r="O15" s="10" t="s">
        <v>152</v>
      </c>
      <c r="P15" s="10" t="n">
        <v>2</v>
      </c>
      <c r="Q15" s="10" t="n">
        <v>3</v>
      </c>
      <c r="R15" s="12" t="n">
        <f aca="false">P15*Q15</f>
        <v>6</v>
      </c>
      <c r="S15" s="11" t="str">
        <f aca="false">IF(R15&gt;='Scoring Key'!$B$12,"Critical",IF(R15&gt;='Scoring Key'!$B$11,"High",IF(R15&gt;='Scoring Key'!$B$10,"Medium","Low")))</f>
        <v>Medium</v>
      </c>
      <c r="T15" s="10" t="s">
        <v>153</v>
      </c>
    </row>
    <row r="16" customFormat="false" ht="23.85" hidden="false" customHeight="false" outlineLevel="0" collapsed="false">
      <c r="A16" s="8" t="s">
        <v>244</v>
      </c>
      <c r="B16" s="10" t="s">
        <v>72</v>
      </c>
      <c r="C16" s="8" t="str">
        <f aca="false">IFERROR(INDEX('Asset Inventory'!$B$2:$B$21,MATCH(B16,'Asset Inventory'!$A$2:$A$21,0)),"Unknown asset")</f>
        <v>Staff Workstations (~80)</v>
      </c>
      <c r="D16" s="9" t="s">
        <v>245</v>
      </c>
      <c r="E16" s="9" t="s">
        <v>246</v>
      </c>
      <c r="F16" s="10" t="n">
        <v>4</v>
      </c>
      <c r="G16" s="10" t="n">
        <v>3</v>
      </c>
      <c r="H16" s="12" t="n">
        <f aca="false">F16*G16</f>
        <v>12</v>
      </c>
      <c r="I16" s="11" t="str">
        <f aca="false">IF(H16&gt;='Scoring Key'!$B$12,"Critical",IF(H16&gt;='Scoring Key'!$B$11,"High",IF(H16&gt;='Scoring Key'!$B$10,"Medium","Low")))</f>
        <v>High</v>
      </c>
      <c r="J16" s="9" t="s">
        <v>247</v>
      </c>
      <c r="K16" s="9" t="s">
        <v>248</v>
      </c>
      <c r="L16" s="10" t="s">
        <v>150</v>
      </c>
      <c r="M16" s="9" t="s">
        <v>249</v>
      </c>
      <c r="N16" s="9" t="s">
        <v>75</v>
      </c>
      <c r="O16" s="10" t="s">
        <v>175</v>
      </c>
      <c r="P16" s="10" t="n">
        <v>2</v>
      </c>
      <c r="Q16" s="10" t="n">
        <v>2</v>
      </c>
      <c r="R16" s="12" t="n">
        <f aca="false">P16*Q16</f>
        <v>4</v>
      </c>
      <c r="S16" s="11" t="str">
        <f aca="false">IF(R16&gt;='Scoring Key'!$B$12,"Critical",IF(R16&gt;='Scoring Key'!$B$11,"High",IF(R16&gt;='Scoring Key'!$B$10,"Medium","Low")))</f>
        <v>Low</v>
      </c>
      <c r="T16" s="10" t="s">
        <v>168</v>
      </c>
    </row>
    <row r="17" customFormat="false" ht="23.85" hidden="false" customHeight="false" outlineLevel="0" collapsed="false">
      <c r="A17" s="8" t="s">
        <v>250</v>
      </c>
      <c r="B17" s="10" t="s">
        <v>116</v>
      </c>
      <c r="C17" s="8" t="str">
        <f aca="false">IFERROR(INDEX('Asset Inventory'!$B$2:$B$21,MATCH(B17,'Asset Inventory'!$A$2:$A$21,0)),"Unknown asset")</f>
        <v>IT Team (5 staff)</v>
      </c>
      <c r="D17" s="9" t="s">
        <v>251</v>
      </c>
      <c r="E17" s="9" t="s">
        <v>252</v>
      </c>
      <c r="F17" s="10" t="n">
        <v>3</v>
      </c>
      <c r="G17" s="10" t="n">
        <v>4</v>
      </c>
      <c r="H17" s="12" t="n">
        <f aca="false">F17*G17</f>
        <v>12</v>
      </c>
      <c r="I17" s="11" t="str">
        <f aca="false">IF(H17&gt;='Scoring Key'!$B$12,"Critical",IF(H17&gt;='Scoring Key'!$B$11,"High",IF(H17&gt;='Scoring Key'!$B$10,"Medium","Low")))</f>
        <v>High</v>
      </c>
      <c r="J17" s="9" t="s">
        <v>240</v>
      </c>
      <c r="K17" s="9" t="s">
        <v>253</v>
      </c>
      <c r="L17" s="10" t="s">
        <v>150</v>
      </c>
      <c r="M17" s="9" t="s">
        <v>254</v>
      </c>
      <c r="N17" s="9" t="s">
        <v>44</v>
      </c>
      <c r="O17" s="10" t="s">
        <v>167</v>
      </c>
      <c r="P17" s="10" t="n">
        <v>2</v>
      </c>
      <c r="Q17" s="10" t="n">
        <v>2</v>
      </c>
      <c r="R17" s="12" t="n">
        <f aca="false">P17*Q17</f>
        <v>4</v>
      </c>
      <c r="S17" s="11" t="str">
        <f aca="false">IF(R17&gt;='Scoring Key'!$B$12,"Critical",IF(R17&gt;='Scoring Key'!$B$11,"High",IF(R17&gt;='Scoring Key'!$B$10,"Medium","Low")))</f>
        <v>Low</v>
      </c>
      <c r="T17" s="10" t="s">
        <v>153</v>
      </c>
    </row>
  </sheetData>
  <conditionalFormatting sqref="I2:I17">
    <cfRule type="cellIs" priority="2" operator="equal" aboveAverage="0" equalAverage="0" bottom="0" percent="0" rank="0" text="" dxfId="3">
      <formula>"Critical"</formula>
    </cfRule>
    <cfRule type="cellIs" priority="3" operator="equal" aboveAverage="0" equalAverage="0" bottom="0" percent="0" rank="0" text="" dxfId="0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2">
      <formula>"Low"</formula>
    </cfRule>
  </conditionalFormatting>
  <conditionalFormatting sqref="S2:S17"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0">
      <formula>"High"</formula>
    </cfRule>
    <cfRule type="cellIs" priority="8" operator="equal" aboveAverage="0" equalAverage="0" bottom="0" percent="0" rank="0" text="" dxfId="1">
      <formula>"Medium"</formula>
    </cfRule>
    <cfRule type="cellIs" priority="9" operator="equal" aboveAverage="0" equalAverage="0" bottom="0" percent="0" rank="0" text="" dxfId="2">
      <formula>"Low"</formula>
    </cfRule>
  </conditionalFormatting>
  <dataValidations count="3">
    <dataValidation allowBlank="false" error="Enter 1 to 5" errorStyle="stop" operator="between" showDropDown="false" showErrorMessage="true" showInputMessage="false" sqref="F2:G17 P2:Q17" type="whole">
      <formula1>1</formula1>
      <formula2>5</formula2>
    </dataValidation>
    <dataValidation allowBlank="true" errorStyle="stop" operator="between" showDropDown="false" showErrorMessage="false" showInputMessage="false" sqref="L2:L17" type="list">
      <formula1>"Mitigate,Accept,Transfer,Avoid"</formula1>
      <formula2>0</formula2>
    </dataValidation>
    <dataValidation allowBlank="true" errorStyle="stop" operator="between" showDropDown="false" showErrorMessage="false" showInputMessage="false" sqref="T2:T17" type="list">
      <formula1>"Planned,In progress,Done,Accepted"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3" t="s">
        <v>255</v>
      </c>
      <c r="B1" s="13" t="s">
        <v>130</v>
      </c>
      <c r="C1" s="13" t="s">
        <v>131</v>
      </c>
    </row>
    <row r="2" customFormat="false" ht="15" hidden="false" customHeight="false" outlineLevel="0" collapsed="false">
      <c r="A2" s="3" t="n">
        <v>1</v>
      </c>
      <c r="B2" s="3" t="s">
        <v>256</v>
      </c>
      <c r="C2" s="3" t="s">
        <v>257</v>
      </c>
    </row>
    <row r="3" customFormat="false" ht="15" hidden="false" customHeight="false" outlineLevel="0" collapsed="false">
      <c r="A3" s="3" t="n">
        <v>2</v>
      </c>
      <c r="B3" s="3" t="s">
        <v>258</v>
      </c>
      <c r="C3" s="3" t="s">
        <v>259</v>
      </c>
    </row>
    <row r="4" customFormat="false" ht="15" hidden="false" customHeight="false" outlineLevel="0" collapsed="false">
      <c r="A4" s="3" t="n">
        <v>3</v>
      </c>
      <c r="B4" s="3" t="s">
        <v>260</v>
      </c>
      <c r="C4" s="3" t="s">
        <v>261</v>
      </c>
    </row>
    <row r="5" customFormat="false" ht="15" hidden="false" customHeight="false" outlineLevel="0" collapsed="false">
      <c r="A5" s="3" t="n">
        <v>4</v>
      </c>
      <c r="B5" s="3" t="s">
        <v>262</v>
      </c>
      <c r="C5" s="3" t="s">
        <v>263</v>
      </c>
    </row>
    <row r="6" customFormat="false" ht="15" hidden="false" customHeight="false" outlineLevel="0" collapsed="false">
      <c r="A6" s="3" t="n">
        <v>5</v>
      </c>
      <c r="B6" s="3" t="s">
        <v>264</v>
      </c>
      <c r="C6" s="3" t="s">
        <v>265</v>
      </c>
    </row>
    <row r="7" customFormat="false" ht="15" hidden="false" customHeight="false" outlineLevel="0" collapsed="false">
      <c r="A7" s="3"/>
      <c r="B7" s="3"/>
      <c r="C7" s="3"/>
    </row>
    <row r="8" customFormat="false" ht="15" hidden="false" customHeight="false" outlineLevel="0" collapsed="false">
      <c r="A8" s="14" t="s">
        <v>266</v>
      </c>
      <c r="B8" s="14" t="s">
        <v>267</v>
      </c>
      <c r="C8" s="14" t="s">
        <v>255</v>
      </c>
    </row>
    <row r="9" customFormat="false" ht="15" hidden="false" customHeight="false" outlineLevel="0" collapsed="false">
      <c r="A9" s="3"/>
      <c r="B9" s="15" t="n">
        <v>1</v>
      </c>
      <c r="C9" s="3" t="s">
        <v>268</v>
      </c>
    </row>
    <row r="10" customFormat="false" ht="15" hidden="false" customHeight="false" outlineLevel="0" collapsed="false">
      <c r="A10" s="3"/>
      <c r="B10" s="15" t="n">
        <v>5</v>
      </c>
      <c r="C10" s="3" t="s">
        <v>269</v>
      </c>
    </row>
    <row r="11" customFormat="false" ht="15" hidden="false" customHeight="false" outlineLevel="0" collapsed="false">
      <c r="A11" s="3"/>
      <c r="B11" s="15" t="n">
        <v>10</v>
      </c>
      <c r="C11" s="3" t="s">
        <v>270</v>
      </c>
    </row>
    <row r="12" customFormat="false" ht="15" hidden="false" customHeight="false" outlineLevel="0" collapsed="false">
      <c r="A12" s="3"/>
      <c r="B12" s="15" t="n">
        <v>17</v>
      </c>
      <c r="C12" s="3" t="s">
        <v>271</v>
      </c>
    </row>
    <row r="13" customFormat="false" ht="15" hidden="false" customHeight="false" outlineLevel="0" collapsed="false">
      <c r="A13" s="3"/>
      <c r="B13" s="3"/>
      <c r="C13" s="3"/>
    </row>
    <row r="14" customFormat="false" ht="15" hidden="false" customHeight="false" outlineLevel="0" collapsed="false">
      <c r="A14" s="3" t="s">
        <v>272</v>
      </c>
      <c r="B14" s="3" t="s">
        <v>273</v>
      </c>
      <c r="C14" s="3"/>
    </row>
    <row r="15" customFormat="false" ht="15" hidden="false" customHeight="false" outlineLevel="0" collapsed="false">
      <c r="A15" s="14" t="n">
        <v>1</v>
      </c>
      <c r="B15" s="14" t="s">
        <v>274</v>
      </c>
      <c r="C15" s="14"/>
    </row>
    <row r="16" customFormat="false" ht="15" hidden="false" customHeight="false" outlineLevel="0" collapsed="false">
      <c r="A16" s="3" t="n">
        <v>2</v>
      </c>
      <c r="B16" s="3" t="s">
        <v>275</v>
      </c>
      <c r="C16" s="3"/>
    </row>
    <row r="17" customFormat="false" ht="23.85" hidden="false" customHeight="false" outlineLevel="0" collapsed="false">
      <c r="A17" s="3" t="n">
        <v>3</v>
      </c>
      <c r="B17" s="3" t="s">
        <v>276</v>
      </c>
      <c r="C17" s="3"/>
    </row>
    <row r="18" customFormat="false" ht="15" hidden="false" customHeight="false" outlineLevel="0" collapsed="false">
      <c r="A18" s="3"/>
      <c r="B18" s="3"/>
      <c r="C18" s="3"/>
    </row>
    <row r="19" customFormat="false" ht="23.85" hidden="false" customHeight="false" outlineLevel="0" collapsed="false">
      <c r="A19" s="3" t="s">
        <v>277</v>
      </c>
      <c r="B19" s="3" t="s">
        <v>278</v>
      </c>
      <c r="C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6" t="s">
        <v>279</v>
      </c>
      <c r="B1" s="16" t="s">
        <v>280</v>
      </c>
      <c r="C1" s="16" t="s">
        <v>281</v>
      </c>
    </row>
    <row r="2" customFormat="false" ht="15" hidden="false" customHeight="false" outlineLevel="0" collapsed="false">
      <c r="A2" s="17" t="s">
        <v>271</v>
      </c>
      <c r="B2" s="18" t="n">
        <f aca="false">COUNTIF('Risk Register'!$I$2:$I$17,A2)</f>
        <v>2</v>
      </c>
      <c r="C2" s="18" t="n">
        <f aca="false">COUNTIF('Risk Register'!$S$2:$S$17,A2)</f>
        <v>0</v>
      </c>
    </row>
    <row r="3" customFormat="false" ht="15" hidden="false" customHeight="false" outlineLevel="0" collapsed="false">
      <c r="A3" s="17" t="s">
        <v>270</v>
      </c>
      <c r="B3" s="18" t="n">
        <f aca="false">COUNTIF('Risk Register'!$I$2:$I$17,A3)</f>
        <v>10</v>
      </c>
      <c r="C3" s="18" t="n">
        <f aca="false">COUNTIF('Risk Register'!$S$2:$S$17,A3)</f>
        <v>0</v>
      </c>
    </row>
    <row r="4" customFormat="false" ht="15" hidden="false" customHeight="false" outlineLevel="0" collapsed="false">
      <c r="A4" s="17" t="s">
        <v>269</v>
      </c>
      <c r="B4" s="18" t="n">
        <f aca="false">COUNTIF('Risk Register'!$I$2:$I$17,A4)</f>
        <v>4</v>
      </c>
      <c r="C4" s="18" t="n">
        <f aca="false">COUNTIF('Risk Register'!$S$2:$S$17,A4)</f>
        <v>9</v>
      </c>
    </row>
    <row r="5" customFormat="false" ht="15" hidden="false" customHeight="false" outlineLevel="0" collapsed="false">
      <c r="A5" s="17" t="s">
        <v>268</v>
      </c>
      <c r="B5" s="18" t="n">
        <f aca="false">COUNTIF('Risk Register'!$I$2:$I$17,A5)</f>
        <v>0</v>
      </c>
      <c r="C5" s="18" t="n">
        <f aca="false">COUNTIF('Risk Register'!$S$2:$S$17,A5)</f>
        <v>7</v>
      </c>
    </row>
    <row r="6" customFormat="false" ht="15" hidden="false" customHeight="false" outlineLevel="0" collapsed="false">
      <c r="A6" s="17" t="s">
        <v>282</v>
      </c>
      <c r="B6" s="19" t="n">
        <f aca="false">SUM(B2:B5)</f>
        <v>16</v>
      </c>
      <c r="C6" s="19" t="n">
        <f aca="false">SUM(C2:C5)</f>
        <v>16</v>
      </c>
    </row>
    <row r="7" customFormat="false" ht="15" hidden="false" customHeight="false" outlineLevel="0" collapsed="false">
      <c r="A7" s="17"/>
      <c r="B7" s="18"/>
      <c r="C7" s="18"/>
    </row>
    <row r="8" customFormat="false" ht="15" hidden="false" customHeight="false" outlineLevel="0" collapsed="false">
      <c r="A8" s="17" t="s">
        <v>283</v>
      </c>
      <c r="B8" s="20" t="n">
        <f aca="false">AVERAGE('Risk Register'!$H$2:$H$17)</f>
        <v>13.0625</v>
      </c>
      <c r="C8" s="20" t="n">
        <f aca="false">AVERAGE('Risk Register'!$R$2:$R$17)</f>
        <v>5.5</v>
      </c>
    </row>
    <row r="9" customFormat="false" ht="15" hidden="false" customHeight="false" outlineLevel="0" collapsed="false">
      <c r="A9" s="17" t="s">
        <v>284</v>
      </c>
      <c r="B9" s="18"/>
      <c r="C9" s="21" t="n">
        <f aca="false">IF(B8=0,0,1-C8/B8)</f>
        <v>0.578947368421053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2026-10-19T20:47:29Z</dcterms:created>
  <dc:creator>openpyxl</dc:creator>
  <dc:description/>
  <dc:language>en-US</dc:language>
  <cp:lastModifiedBy/>
  <dcterms:modified xsi:type="dcterms:W3CDTF">2026-10-19T20:47:29Z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